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бъекты" sheetId="2" state="visible" r:id="rId2"/>
    <sheet xmlns:r="http://schemas.openxmlformats.org/officeDocument/2006/relationships" name="Нормативы" sheetId="3" state="visible" r:id="rId3"/>
    <sheet xmlns:r="http://schemas.openxmlformats.org/officeDocument/2006/relationships" name="Активы" sheetId="4" state="visible" r:id="rId4"/>
    <sheet xmlns:r="http://schemas.openxmlformats.org/officeDocument/2006/relationships" name="Бюджет пилота" sheetId="5" state="visible" r:id="rId5"/>
    <sheet xmlns:r="http://schemas.openxmlformats.org/officeDocument/2006/relationships" name="Т1 Транзитная" sheetId="6" state="visible" r:id="rId6"/>
    <sheet xmlns:r="http://schemas.openxmlformats.org/officeDocument/2006/relationships" name="Т2 Активная" sheetId="7" state="visible" r:id="rId7"/>
    <sheet xmlns:r="http://schemas.openxmlformats.org/officeDocument/2006/relationships" name="Т3 Сквер" sheetId="8" state="visible" r:id="rId8"/>
    <sheet xmlns:r="http://schemas.openxmlformats.org/officeDocument/2006/relationships" name="Т4 Sphere Par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"/>
    <numFmt numFmtId="165" formatCode="0.0%"/>
    <numFmt numFmtId="166" formatCode="0.0"/>
  </numFmts>
  <fonts count="35">
    <font>
      <name val="Calibri"/>
      <family val="2"/>
      <color theme="1"/>
      <sz val="11"/>
      <scheme val="minor"/>
    </font>
    <font>
      <name val="Arial"/>
      <b val="1"/>
      <color rgb="001B2A6E"/>
      <sz val="13"/>
    </font>
    <font>
      <name val="Arial"/>
      <color rgb="008A93A6"/>
      <sz val="9"/>
    </font>
    <font>
      <name val="Arial"/>
      <b val="1"/>
      <color rgb="00FFFFFF"/>
      <sz val="10"/>
    </font>
    <font>
      <name val="Arial"/>
      <sz val="9.5"/>
    </font>
    <font>
      <name val="Arial"/>
      <color rgb="00000000"/>
      <sz val="9.5"/>
    </font>
    <font>
      <name val="Arial"/>
      <color rgb="00008000"/>
      <sz val="9.5"/>
    </font>
    <font>
      <name val="Arial"/>
      <b val="1"/>
      <color rgb="001E7A45"/>
      <sz val="9.5"/>
    </font>
    <font>
      <name val="Arial"/>
      <b val="1"/>
      <sz val="9.5"/>
    </font>
    <font>
      <name val="Arial"/>
      <b val="1"/>
      <color rgb="001B2A6E"/>
      <sz val="9.5"/>
    </font>
    <font>
      <name val="Arial"/>
      <color rgb="008A93A6"/>
      <sz val="9.5"/>
    </font>
    <font>
      <name val="Arial"/>
      <color rgb="000000FF"/>
      <sz val="9.5"/>
    </font>
    <font>
      <name val="Arial"/>
      <b val="1"/>
      <color rgb="00B03A2E"/>
      <sz val="9.5"/>
    </font>
    <font>
      <name val="Arial"/>
      <b val="1"/>
      <color rgb="00FFFFFF"/>
      <sz val="9.5"/>
    </font>
    <font>
      <name val="Arial"/>
      <sz val="10"/>
    </font>
    <font>
      <name val="Arial"/>
      <color rgb="000000FF"/>
      <sz val="10"/>
    </font>
    <font>
      <name val="Arial"/>
      <b val="1"/>
      <color rgb="001B2A6E"/>
      <sz val="9"/>
    </font>
    <font>
      <name val="Arial"/>
      <color rgb="008A93A6"/>
      <sz val="8"/>
    </font>
    <font>
      <name val="Arial"/>
      <b val="1"/>
      <color rgb="001B2A6E"/>
      <sz val="10"/>
    </font>
    <font>
      <name val="Arial"/>
      <b val="1"/>
      <color rgb="00008000"/>
      <sz val="9.5"/>
    </font>
    <font>
      <name val="Arial"/>
      <b val="1"/>
      <color rgb="00FFFFFF"/>
      <sz val="9"/>
    </font>
    <font>
      <name val="Arial"/>
      <color rgb="008A93A6"/>
      <sz val="8.5"/>
    </font>
    <font>
      <name val="Arial"/>
      <i val="1"/>
      <color rgb="008A93A6"/>
      <sz val="9"/>
    </font>
    <font>
      <name val="Arial"/>
      <b val="1"/>
      <color rgb="001B2A6E"/>
      <sz val="14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1E7A45"/>
      <sz val="10.5"/>
    </font>
    <font>
      <name val="Arial"/>
      <b val="1"/>
      <color rgb="00B03A2E"/>
      <sz val="10.5"/>
    </font>
    <font>
      <name val="Arial"/>
      <b val="1"/>
      <sz val="10.5"/>
    </font>
    <font>
      <name val="Arial"/>
      <b val="1"/>
      <color rgb="001B2A6E"/>
      <sz val="10.5"/>
    </font>
    <font>
      <name val="Arial"/>
      <b val="1"/>
      <color rgb="001B2A6E"/>
      <sz val="15"/>
    </font>
    <font>
      <name val="Arial"/>
      <color rgb="008A93A6"/>
      <sz val="10"/>
    </font>
    <font>
      <name val="Arial"/>
      <color rgb="00008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A6E"/>
      </patternFill>
    </fill>
    <fill>
      <patternFill patternType="solid">
        <fgColor rgb="00FFFF00"/>
      </patternFill>
    </fill>
    <fill>
      <patternFill patternType="solid">
        <fgColor rgb="00DFE8F4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14" fillId="0" borderId="1" pivotButton="0" quotePrefix="0" xfId="0"/>
    <xf numFmtId="0" fontId="33" fillId="0" borderId="1" applyAlignment="1" pivotButton="0" quotePrefix="0" xfId="0">
      <alignment horizontal="right"/>
    </xf>
    <xf numFmtId="3" fontId="33" fillId="0" borderId="1" applyAlignment="1" pivotButton="0" quotePrefix="0" xfId="0">
      <alignment horizontal="right"/>
    </xf>
    <xf numFmtId="166" fontId="33" fillId="0" borderId="1" applyAlignment="1" pivotButton="0" quotePrefix="0" xfId="0">
      <alignment horizontal="right"/>
    </xf>
    <xf numFmtId="9" fontId="26" fillId="0" borderId="1" applyAlignment="1" pivotButton="0" quotePrefix="0" xfId="0">
      <alignment horizontal="right"/>
    </xf>
    <xf numFmtId="0" fontId="34" fillId="0" borderId="1" applyAlignment="1" pivotButton="0" quotePrefix="0" xfId="0">
      <alignment horizontal="right"/>
    </xf>
    <xf numFmtId="0" fontId="2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2" fillId="0" borderId="1" pivotButton="0" quotePrefix="0" xfId="0"/>
    <xf numFmtId="3" fontId="11" fillId="3" borderId="1" applyAlignment="1" pivotButton="0" quotePrefix="0" xfId="0">
      <alignment horizontal="right"/>
    </xf>
    <xf numFmtId="0" fontId="13" fillId="2" borderId="1" pivotButton="0" quotePrefix="0" xfId="0"/>
    <xf numFmtId="0" fontId="2" fillId="0" borderId="1" pivotButton="0" quotePrefix="0" xfId="0"/>
    <xf numFmtId="3" fontId="15" fillId="3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4" fontId="15" fillId="3" borderId="1" applyAlignment="1" pivotButton="0" quotePrefix="0" xfId="0">
      <alignment horizontal="right"/>
    </xf>
    <xf numFmtId="0" fontId="16" fillId="4" borderId="0" pivotButton="0" quotePrefix="0" xfId="0"/>
    <xf numFmtId="0" fontId="0" fillId="0" borderId="1" pivotButton="0" quotePrefix="0" xfId="0"/>
    <xf numFmtId="165" fontId="15" fillId="3" borderId="1" applyAlignment="1" pivotButton="0" quotePrefix="0" xfId="0">
      <alignment horizontal="right"/>
    </xf>
    <xf numFmtId="166" fontId="15" fillId="3" borderId="1" applyAlignment="1" pivotButton="0" quotePrefix="0" xfId="0">
      <alignment horizontal="right"/>
    </xf>
    <xf numFmtId="0" fontId="13" fillId="2" borderId="1" applyAlignment="1" pivotButton="0" quotePrefix="0" xfId="0">
      <alignment horizontal="left"/>
    </xf>
    <xf numFmtId="0" fontId="13" fillId="2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17" fillId="0" borderId="1" applyAlignment="1" pivotButton="0" quotePrefix="0" xfId="0">
      <alignment vertical="top" wrapText="1"/>
    </xf>
    <xf numFmtId="166" fontId="11" fillId="3" borderId="1" applyAlignment="1" pivotButton="0" quotePrefix="0" xfId="0">
      <alignment horizontal="right"/>
    </xf>
    <xf numFmtId="0" fontId="18" fillId="5" borderId="1" pivotButton="0" quotePrefix="0" xfId="0"/>
    <xf numFmtId="3" fontId="18" fillId="5" borderId="1" applyAlignment="1" pivotButton="0" quotePrefix="0" xfId="0">
      <alignment horizontal="right"/>
    </xf>
    <xf numFmtId="166" fontId="18" fillId="5" borderId="1" applyAlignment="1" pivotButton="0" quotePrefix="0" xfId="0">
      <alignment horizontal="right"/>
    </xf>
    <xf numFmtId="0" fontId="0" fillId="5" borderId="1" pivotButton="0" quotePrefix="0" xfId="0"/>
    <xf numFmtId="166" fontId="19" fillId="0" borderId="1" applyAlignment="1" pivotButton="0" quotePrefix="0" xfId="0">
      <alignment horizontal="right"/>
    </xf>
    <xf numFmtId="0" fontId="17" fillId="0" borderId="1" pivotButton="0" quotePrefix="0" xfId="0"/>
    <xf numFmtId="0" fontId="20" fillId="2" borderId="1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right"/>
    </xf>
    <xf numFmtId="0" fontId="5" fillId="0" borderId="1" pivotButton="0" quotePrefix="0" xfId="0"/>
    <xf numFmtId="0" fontId="21" fillId="0" borderId="1" applyAlignment="1" pivotButton="0" quotePrefix="0" xfId="0">
      <alignment horizontal="left"/>
    </xf>
    <xf numFmtId="0" fontId="9" fillId="5" borderId="1" pivotButton="0" quotePrefix="0" xfId="0"/>
    <xf numFmtId="166" fontId="9" fillId="5" borderId="1" applyAlignment="1" pivotButton="0" quotePrefix="0" xfId="0">
      <alignment horizontal="right"/>
    </xf>
    <xf numFmtId="0" fontId="12" fillId="5" borderId="1" pivotButton="0" quotePrefix="0" xfId="0"/>
    <xf numFmtId="166" fontId="12" fillId="5" borderId="1" applyAlignment="1" pivotButton="0" quotePrefix="0" xfId="0">
      <alignment horizontal="right"/>
    </xf>
    <xf numFmtId="0" fontId="23" fillId="0" borderId="0" pivotButton="0" quotePrefix="0" xfId="0"/>
    <xf numFmtId="0" fontId="24" fillId="0" borderId="0" pivotButton="0" quotePrefix="0" xfId="0"/>
    <xf numFmtId="0" fontId="25" fillId="3" borderId="1" pivotButton="0" quotePrefix="0" xfId="0"/>
    <xf numFmtId="0" fontId="24" fillId="0" borderId="0" applyAlignment="1" pivotButton="0" quotePrefix="0" xfId="0">
      <alignment horizontal="right"/>
    </xf>
    <xf numFmtId="3" fontId="26" fillId="0" borderId="1" applyAlignment="1" pivotButton="0" quotePrefix="0" xfId="0">
      <alignment horizontal="right"/>
    </xf>
    <xf numFmtId="166" fontId="26" fillId="0" borderId="1" applyAlignment="1" pivotButton="0" quotePrefix="0" xfId="0">
      <alignment horizontal="left"/>
    </xf>
    <xf numFmtId="0" fontId="16" fillId="4" borderId="1" pivotButton="0" quotePrefix="0" xfId="0"/>
    <xf numFmtId="0" fontId="27" fillId="5" borderId="1" pivotButton="0" quotePrefix="0" xfId="0"/>
    <xf numFmtId="166" fontId="27" fillId="5" borderId="1" applyAlignment="1" pivotButton="0" quotePrefix="0" xfId="0">
      <alignment horizontal="right"/>
    </xf>
    <xf numFmtId="166" fontId="14" fillId="0" borderId="1" applyAlignment="1" pivotButton="0" quotePrefix="0" xfId="0">
      <alignment horizontal="right"/>
    </xf>
    <xf numFmtId="0" fontId="28" fillId="5" borderId="1" pivotButton="0" quotePrefix="0" xfId="0"/>
    <xf numFmtId="166" fontId="28" fillId="5" borderId="1" applyAlignment="1" pivotButton="0" quotePrefix="0" xfId="0">
      <alignment horizontal="right"/>
    </xf>
    <xf numFmtId="9" fontId="29" fillId="0" borderId="1" applyAlignment="1" pivotButton="0" quotePrefix="0" xfId="0">
      <alignment horizontal="right"/>
    </xf>
    <xf numFmtId="0" fontId="24" fillId="0" borderId="1" pivotButton="0" quotePrefix="0" xfId="0"/>
    <xf numFmtId="0" fontId="30" fillId="0" borderId="1" applyAlignment="1" pivotButton="0" quotePrefix="0" xfId="0">
      <alignment horizontal="right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7" customWidth="1" min="4" max="4"/>
    <col width="19" customWidth="1" min="5" max="5"/>
  </cols>
  <sheetData>
    <row r="1">
      <c r="A1" s="1" t="inlineStr">
        <is>
          <t>Финмодели пилота «Парки и аллеи BI» · Т1–Т4</t>
        </is>
      </c>
    </row>
    <row r="2">
      <c r="A2" s="2" t="inlineStr">
        <is>
          <t>Планировочные вилки к защите пилота · август 2026 · BI Service</t>
        </is>
      </c>
    </row>
    <row r="4">
      <c r="A4" s="3" t="inlineStr">
        <is>
          <t>Как пользоваться. На листах моделей выберите объект из выпадающего списка (лист «Объекты», 32 территории, шорт-лист отмечен «Да») — обе площади подтянутся сами: озеленение из реестра, общая — фактический обмер Google Earth для группы A (для незамеренных: озеленение × коэффициент). Уборка и свет считаются от общей площади, озеленение и полив — от зелёной. Лист «Активы» — балансовая стоимость по справкам застройщиков; ремфонд = 1–1,5% в год от активов и планового CAPEX активации. Лист «Бюджет пилота» — годовое содержание пилота: Гранд Туран и Nexpo Юнион. Жёлтые ячейки — редактируемые ставки.</t>
        </is>
      </c>
    </row>
    <row r="5"/>
    <row r="6"/>
    <row r="7"/>
    <row r="9">
      <c r="A9" s="4" t="inlineStr">
        <is>
          <t>Показатель</t>
        </is>
      </c>
      <c r="B9" s="5" t="inlineStr">
        <is>
          <t>Т1 · Flora 1+2</t>
        </is>
      </c>
      <c r="C9" s="5" t="inlineStr">
        <is>
          <t>Т2 · Гранд Туран</t>
        </is>
      </c>
      <c r="D9" s="5" t="inlineStr">
        <is>
          <t>Т3 · Авеню 5</t>
        </is>
      </c>
      <c r="E9" s="5" t="inlineStr">
        <is>
          <t>Т4 · Sphere Park</t>
        </is>
      </c>
    </row>
    <row r="10">
      <c r="A10" s="6" t="inlineStr">
        <is>
          <t>Выбранный объект</t>
        </is>
      </c>
      <c r="B10" s="7">
        <f>'Т1 Транзитная'!B3</f>
        <v/>
      </c>
      <c r="C10" s="7">
        <f>'Т2 Активная'!B3</f>
        <v/>
      </c>
      <c r="D10" s="7">
        <f>'Т3 Сквер'!B3</f>
        <v/>
      </c>
      <c r="E10" s="7">
        <f>'Т4 Sphere Park'!B3</f>
        <v/>
      </c>
    </row>
    <row r="11">
      <c r="A11" s="6" t="inlineStr">
        <is>
          <t>Озеленение, м²</t>
        </is>
      </c>
      <c r="B11" s="8">
        <f>'Т1 Транзитная'!D3</f>
        <v/>
      </c>
      <c r="C11" s="8">
        <f>'Т2 Активная'!D3</f>
        <v/>
      </c>
      <c r="D11" s="8">
        <f>'Т3 Сквер'!D3</f>
        <v/>
      </c>
      <c r="E11" s="8">
        <f>'Т4 Sphere Park'!D3</f>
        <v/>
      </c>
    </row>
    <row r="12">
      <c r="A12" s="6" t="inlineStr">
        <is>
          <t>Общая площадь, м²</t>
        </is>
      </c>
      <c r="B12" s="8">
        <f>'Т1 Транзитная'!D4</f>
        <v/>
      </c>
      <c r="C12" s="8">
        <f>'Т2 Активная'!D4</f>
        <v/>
      </c>
      <c r="D12" s="8">
        <f>'Т3 Сквер'!D4</f>
        <v/>
      </c>
      <c r="E12" s="8">
        <f>'Т4 Sphere Park'!D4</f>
        <v/>
      </c>
    </row>
    <row r="13">
      <c r="A13" s="6" t="inlineStr">
        <is>
          <t>Активы на балансе, млн тг</t>
        </is>
      </c>
      <c r="B13" s="9">
        <f>'Т1 Транзитная'!B4</f>
        <v/>
      </c>
      <c r="C13" s="9">
        <f>'Т2 Активная'!B4</f>
        <v/>
      </c>
      <c r="D13" s="9">
        <f>'Т3 Сквер'!B4</f>
        <v/>
      </c>
      <c r="E13" s="9">
        <f>'Т4 Sphere Park'!B4</f>
        <v/>
      </c>
    </row>
    <row r="14">
      <c r="A14" s="6" t="inlineStr">
        <is>
          <t>Доходы, млн тг/год (мин)</t>
        </is>
      </c>
      <c r="B14" s="9">
        <f>'Т1 Транзитная'!C11</f>
        <v/>
      </c>
      <c r="C14" s="9">
        <f>'Т2 Активная'!C13</f>
        <v/>
      </c>
      <c r="D14" s="9">
        <f>'Т3 Сквер'!C13</f>
        <v/>
      </c>
      <c r="E14" s="9">
        <f>'Т4 Sphere Park'!C14</f>
        <v/>
      </c>
    </row>
    <row r="15">
      <c r="A15" s="6" t="inlineStr">
        <is>
          <t>Доходы, млн тг/год (макс)</t>
        </is>
      </c>
      <c r="B15" s="9">
        <f>'Т1 Транзитная'!D11</f>
        <v/>
      </c>
      <c r="C15" s="9">
        <f>'Т2 Активная'!D13</f>
        <v/>
      </c>
      <c r="D15" s="9">
        <f>'Т3 Сквер'!D13</f>
        <v/>
      </c>
      <c r="E15" s="9">
        <f>'Т4 Sphere Park'!D14</f>
        <v/>
      </c>
    </row>
    <row r="16">
      <c r="A16" s="6" t="inlineStr">
        <is>
          <t>OPEX, млн тг/год (мин)</t>
        </is>
      </c>
      <c r="B16" s="9">
        <f>'Т1 Транзитная'!C18</f>
        <v/>
      </c>
      <c r="C16" s="9">
        <f>'Т2 Активная'!C21</f>
        <v/>
      </c>
      <c r="D16" s="9">
        <f>'Т3 Сквер'!C22</f>
        <v/>
      </c>
      <c r="E16" s="9">
        <f>'Т4 Sphere Park'!C23</f>
        <v/>
      </c>
    </row>
    <row r="17">
      <c r="A17" s="6" t="inlineStr">
        <is>
          <t>OPEX, млн тг/год (макс)</t>
        </is>
      </c>
      <c r="B17" s="9">
        <f>'Т1 Транзитная'!D18</f>
        <v/>
      </c>
      <c r="C17" s="9">
        <f>'Т2 Активная'!D21</f>
        <v/>
      </c>
      <c r="D17" s="9">
        <f>'Т3 Сквер'!D22</f>
        <v/>
      </c>
      <c r="E17" s="9">
        <f>'Т4 Sphere Park'!D23</f>
        <v/>
      </c>
    </row>
    <row r="18">
      <c r="A18" s="6" t="inlineStr">
        <is>
          <t>Покрытие OPEX, консервативно</t>
        </is>
      </c>
      <c r="B18" s="10">
        <f>IFERROR('Т1 Транзитная'!C11/'Т1 Транзитная'!D18,0)</f>
        <v/>
      </c>
      <c r="C18" s="10">
        <f>IFERROR('Т2 Активная'!C13/'Т2 Активная'!D21,0)</f>
        <v/>
      </c>
      <c r="D18" s="10">
        <f>IFERROR('Т3 Сквер'!C13/'Т3 Сквер'!D22,0)</f>
        <v/>
      </c>
      <c r="E18" s="10">
        <f>IFERROR('Т4 Sphere Park'!C14/'Т4 Sphere Park'!D23,0)</f>
        <v/>
      </c>
    </row>
    <row r="19">
      <c r="A19" s="6" t="inlineStr">
        <is>
          <t>Покрытие OPEX, по середине вилок</t>
        </is>
      </c>
      <c r="B19" s="10">
        <f>IFERROR(AVERAGE('Т1 Транзитная'!C11:D11)/AVERAGE('Т1 Транзитная'!C18:D18),0)</f>
        <v/>
      </c>
      <c r="C19" s="10">
        <f>IFERROR(AVERAGE('Т2 Активная'!C13:D13)/AVERAGE('Т2 Активная'!C21:D21),0)</f>
        <v/>
      </c>
      <c r="D19" s="10">
        <f>IFERROR(AVERAGE('Т3 Сквер'!C13:D13)/AVERAGE('Т3 Сквер'!C22:D22),0)</f>
        <v/>
      </c>
      <c r="E19" s="10">
        <f>IFERROR(AVERAGE('Т4 Sphere Park'!C14:D14)/AVERAGE('Т4 Sphere Park'!C23:D23),0)</f>
        <v/>
      </c>
    </row>
    <row r="20">
      <c r="A20" s="6" t="inlineStr">
        <is>
          <t>Покрытие OPEX, оптимистично</t>
        </is>
      </c>
      <c r="B20" s="10">
        <f>IFERROR('Т1 Транзитная'!D11/'Т1 Транзитная'!C18,0)</f>
        <v/>
      </c>
      <c r="C20" s="10">
        <f>IFERROR('Т2 Активная'!D13/'Т2 Активная'!C21,0)</f>
        <v/>
      </c>
      <c r="D20" s="10">
        <f>IFERROR('Т3 Сквер'!D13/'Т3 Сквер'!C22,0)</f>
        <v/>
      </c>
      <c r="E20" s="10">
        <f>IFERROR('Т4 Sphere Park'!D14/'Т4 Sphere Park'!C23,0)</f>
        <v/>
      </c>
    </row>
    <row r="21">
      <c r="A21" s="6" t="inlineStr">
        <is>
          <t>Целевой коридор пилота</t>
        </is>
      </c>
      <c r="B21" s="11" t="inlineStr">
        <is>
          <t>10–30%</t>
        </is>
      </c>
      <c r="C21" s="11" t="inlineStr">
        <is>
          <t>40–70%</t>
        </is>
      </c>
      <c r="D21" s="11" t="inlineStr">
        <is>
          <t>70–100%</t>
        </is>
      </c>
      <c r="E21" s="11" t="inlineStr">
        <is>
          <t>80–110%</t>
        </is>
      </c>
    </row>
    <row r="23">
      <c r="A23" s="12" t="inlineStr">
        <is>
          <t>Вилки планировочные, для защиты подхода. Точные ставки дадут факт BI Green и нулевой спринт (сентябрь–октябрь 2026); полная модель с помесячной сезонностью собирается на них в ноябре 2026. CAPEX Sphere Park (~2,2 млрд тг, BTO) компенсируется бюджетом отдельно и в операционные модели не входит.</t>
        </is>
      </c>
    </row>
    <row r="24"/>
  </sheetData>
  <mergeCells count="4">
    <mergeCell ref="A2:E2"/>
    <mergeCell ref="A23:E24"/>
    <mergeCell ref="A1:E1"/>
    <mergeCell ref="A4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7" customWidth="1" min="4" max="4"/>
    <col width="13" customWidth="1" min="5" max="5"/>
    <col width="13" customWidth="1" min="6" max="6"/>
    <col width="10" customWidth="1" min="7" max="7"/>
    <col width="42" customWidth="1" min="8" max="8"/>
    <col width="9" customWidth="1" min="9" max="9"/>
  </cols>
  <sheetData>
    <row r="1">
      <c r="A1" s="13" t="inlineStr">
        <is>
          <t>Справочник территорий · 31 объект реестра + Sphere Park</t>
        </is>
      </c>
    </row>
    <row r="2">
      <c r="A2" s="14" t="inlineStr">
        <is>
          <t>Группы: A — обслуживает BI Green · B — переданы 29.07–03.08.2026 · C — не обслуживаются · D — переданы городу. Озеленение — из реестра; общая площадь группы A — обмер Google Earth (18.08.2026), Nexpo Юнион — оценка по аналогу (жёлтая ячейка, уточнить замером), прочие — озеленение × коэффициент. «Упр.» — Управление BI Service.</t>
        </is>
      </c>
    </row>
    <row r="3">
      <c r="A3" s="15" t="inlineStr">
        <is>
          <t>№</t>
        </is>
      </c>
      <c r="B3" s="15" t="inlineStr">
        <is>
          <t>Территория</t>
        </is>
      </c>
      <c r="C3" s="15" t="inlineStr">
        <is>
          <t>Группа</t>
        </is>
      </c>
      <c r="D3" s="15" t="inlineStr">
        <is>
          <t>Тип</t>
        </is>
      </c>
      <c r="E3" s="15" t="inlineStr">
        <is>
          <t>Озеленение, м²</t>
        </is>
      </c>
      <c r="F3" s="15" t="inlineStr">
        <is>
          <t>Общая, м²</t>
        </is>
      </c>
      <c r="G3" s="15" t="inlineStr">
        <is>
          <t>Шорт-лист</t>
        </is>
      </c>
      <c r="H3" s="15" t="inlineStr">
        <is>
          <t>Статус / примечание</t>
        </is>
      </c>
      <c r="I3" s="15" t="inlineStr">
        <is>
          <t>Упр.</t>
        </is>
      </c>
    </row>
    <row r="4">
      <c r="A4" s="16" t="n">
        <v>1</v>
      </c>
      <c r="B4" s="16" t="inlineStr">
        <is>
          <t>ул. Амман</t>
        </is>
      </c>
      <c r="C4" s="16" t="inlineStr">
        <is>
          <t>A</t>
        </is>
      </c>
      <c r="D4" s="16" t="inlineStr">
        <is>
          <t>Т2</t>
        </is>
      </c>
      <c r="E4" s="17" t="n">
        <v>2500</v>
      </c>
      <c r="F4" s="18">
        <f>E4*Нормативы!$C$18</f>
        <v/>
      </c>
      <c r="G4" s="19" t="inlineStr">
        <is>
          <t>—</t>
        </is>
      </c>
      <c r="H4" s="16" t="inlineStr">
        <is>
          <t>не передан, обслуживает BI Green</t>
        </is>
      </c>
      <c r="I4" s="20" t="n">
        <v>1</v>
      </c>
    </row>
    <row r="5">
      <c r="A5" s="16" t="n">
        <v>2</v>
      </c>
      <c r="B5" s="16" t="inlineStr">
        <is>
          <t>Сквер Авеню 5</t>
        </is>
      </c>
      <c r="C5" s="16" t="inlineStr">
        <is>
          <t>A</t>
        </is>
      </c>
      <c r="D5" s="16" t="inlineStr">
        <is>
          <t>Т3</t>
        </is>
      </c>
      <c r="E5" s="17" t="n">
        <v>1700</v>
      </c>
      <c r="F5" s="17" t="n">
        <v>3114</v>
      </c>
      <c r="G5" s="21" t="inlineStr">
        <is>
          <t>Да</t>
        </is>
      </c>
      <c r="H5" s="16" t="inlineStr">
        <is>
          <t>не передан, обслуживает BI Green</t>
        </is>
      </c>
      <c r="I5" s="20" t="n">
        <v>1</v>
      </c>
    </row>
    <row r="6">
      <c r="A6" s="16" t="n">
        <v>3</v>
      </c>
      <c r="B6" s="16" t="inlineStr">
        <is>
          <t>Аллея Атлант вдоль Сарайшик</t>
        </is>
      </c>
      <c r="C6" s="16" t="inlineStr">
        <is>
          <t>A</t>
        </is>
      </c>
      <c r="D6" s="16" t="inlineStr">
        <is>
          <t>Т2</t>
        </is>
      </c>
      <c r="E6" s="17" t="n">
        <v>1600</v>
      </c>
      <c r="F6" s="17" t="n">
        <v>4804</v>
      </c>
      <c r="G6" s="19" t="inlineStr">
        <is>
          <t>—</t>
        </is>
      </c>
      <c r="H6" s="16" t="inlineStr">
        <is>
          <t>не передан, обслуживает BI Green</t>
        </is>
      </c>
      <c r="I6" s="20" t="n">
        <v>1</v>
      </c>
    </row>
    <row r="7">
      <c r="A7" s="16" t="n">
        <v>4</v>
      </c>
      <c r="B7" s="16" t="inlineStr">
        <is>
          <t>Аллея Nexpo Классик</t>
        </is>
      </c>
      <c r="C7" s="16" t="inlineStr">
        <is>
          <t>A</t>
        </is>
      </c>
      <c r="D7" s="16" t="inlineStr">
        <is>
          <t>Т2</t>
        </is>
      </c>
      <c r="E7" s="17" t="n">
        <v>6200</v>
      </c>
      <c r="F7" s="17" t="n">
        <v>10805</v>
      </c>
      <c r="G7" s="21" t="inlineStr">
        <is>
          <t>Да</t>
        </is>
      </c>
      <c r="H7" s="16" t="inlineStr">
        <is>
          <t>не передан, обслуживает BI Green</t>
        </is>
      </c>
      <c r="I7" s="20" t="n">
        <v>1</v>
      </c>
    </row>
    <row r="8">
      <c r="A8" s="16" t="n">
        <v>5</v>
      </c>
      <c r="B8" s="16" t="inlineStr">
        <is>
          <t>Аура Аллея</t>
        </is>
      </c>
      <c r="C8" s="16" t="inlineStr">
        <is>
          <t>A</t>
        </is>
      </c>
      <c r="D8" s="16" t="inlineStr">
        <is>
          <t>Т1</t>
        </is>
      </c>
      <c r="E8" s="17" t="n">
        <v>800</v>
      </c>
      <c r="F8" s="17" t="n">
        <v>1415</v>
      </c>
      <c r="G8" s="21" t="inlineStr">
        <is>
          <t>Да</t>
        </is>
      </c>
      <c r="H8" s="16" t="inlineStr">
        <is>
          <t>не передан, обслуживает BI Green</t>
        </is>
      </c>
      <c r="I8" s="20" t="n">
        <v>2</v>
      </c>
    </row>
    <row r="9">
      <c r="A9" s="16" t="n">
        <v>6</v>
      </c>
      <c r="B9" s="16" t="inlineStr">
        <is>
          <t>Аллея Хедлайнер Эксклюзив</t>
        </is>
      </c>
      <c r="C9" s="16" t="inlineStr">
        <is>
          <t>A</t>
        </is>
      </c>
      <c r="D9" s="16" t="inlineStr">
        <is>
          <t>Т2</t>
        </is>
      </c>
      <c r="E9" s="17" t="n">
        <v>4000</v>
      </c>
      <c r="F9" s="17" t="n">
        <v>4100</v>
      </c>
      <c r="G9" s="21" t="inlineStr">
        <is>
          <t>Да</t>
        </is>
      </c>
      <c r="H9" s="16" t="inlineStr">
        <is>
          <t>не передан, обслуживает BI Green</t>
        </is>
      </c>
      <c r="I9" s="20" t="n">
        <v>2</v>
      </c>
    </row>
    <row r="10">
      <c r="A10" s="16" t="n">
        <v>7</v>
      </c>
      <c r="B10" s="22" t="inlineStr">
        <is>
          <t>Аллея Гранд Туран Комфорт</t>
        </is>
      </c>
      <c r="C10" s="16" t="inlineStr">
        <is>
          <t>A</t>
        </is>
      </c>
      <c r="D10" s="16" t="inlineStr">
        <is>
          <t>Т2</t>
        </is>
      </c>
      <c r="E10" s="17" t="n">
        <v>2300</v>
      </c>
      <c r="F10" s="17" t="n">
        <v>7059</v>
      </c>
      <c r="G10" s="23" t="inlineStr">
        <is>
          <t>Пилот</t>
        </is>
      </c>
      <c r="H10" s="16" t="inlineStr">
        <is>
          <t>не передан, обслуживает BI Green</t>
        </is>
      </c>
      <c r="I10" s="20" t="n">
        <v>4</v>
      </c>
    </row>
    <row r="11">
      <c r="A11" s="16" t="n">
        <v>8</v>
      </c>
      <c r="B11" s="16" t="inlineStr">
        <is>
          <t>Аллея ЖК Flora 1</t>
        </is>
      </c>
      <c r="C11" s="16" t="inlineStr">
        <is>
          <t>A</t>
        </is>
      </c>
      <c r="D11" s="16" t="inlineStr">
        <is>
          <t>Т1</t>
        </is>
      </c>
      <c r="E11" s="17" t="n">
        <v>338</v>
      </c>
      <c r="F11" s="17" t="n">
        <v>1512</v>
      </c>
      <c r="G11" s="21" t="inlineStr">
        <is>
          <t>Да</t>
        </is>
      </c>
      <c r="H11" s="16" t="inlineStr">
        <is>
          <t>не передан, обслуживает BI Green</t>
        </is>
      </c>
      <c r="I11" s="20" t="n">
        <v>2</v>
      </c>
    </row>
    <row r="12">
      <c r="A12" s="16" t="n">
        <v>9</v>
      </c>
      <c r="B12" s="16" t="inlineStr">
        <is>
          <t>Аллея ЖК Flora 2</t>
        </is>
      </c>
      <c r="C12" s="16" t="inlineStr">
        <is>
          <t>A</t>
        </is>
      </c>
      <c r="D12" s="16" t="inlineStr">
        <is>
          <t>Т1</t>
        </is>
      </c>
      <c r="E12" s="17" t="n">
        <v>338</v>
      </c>
      <c r="F12" s="17" t="n">
        <v>1210</v>
      </c>
      <c r="G12" s="21" t="inlineStr">
        <is>
          <t>Да</t>
        </is>
      </c>
      <c r="H12" s="16" t="inlineStr">
        <is>
          <t>не передан, обслуживает BI Green</t>
        </is>
      </c>
      <c r="I12" s="20" t="n">
        <v>2</v>
      </c>
    </row>
    <row r="13">
      <c r="A13" s="16" t="n">
        <v>10</v>
      </c>
      <c r="B13" s="16" t="inlineStr">
        <is>
          <t>Плейхаб Аква 1</t>
        </is>
      </c>
      <c r="C13" s="16" t="inlineStr">
        <is>
          <t>A</t>
        </is>
      </c>
      <c r="D13" s="16" t="inlineStr">
        <is>
          <t>Т2</t>
        </is>
      </c>
      <c r="E13" s="17" t="n">
        <v>2385</v>
      </c>
      <c r="F13" s="17" t="n">
        <v>2843</v>
      </c>
      <c r="G13" s="21" t="inlineStr">
        <is>
          <t>Да</t>
        </is>
      </c>
      <c r="H13" s="16" t="inlineStr">
        <is>
          <t>не передан, обслуживает BI Green; плейхаб, в шорт-листе как активная</t>
        </is>
      </c>
      <c r="I13" s="20" t="n">
        <v>2</v>
      </c>
    </row>
    <row r="14">
      <c r="A14" s="16" t="n">
        <v>11</v>
      </c>
      <c r="B14" s="16" t="inlineStr">
        <is>
          <t>Аллея Хедлайнер</t>
        </is>
      </c>
      <c r="C14" s="16" t="inlineStr">
        <is>
          <t>B</t>
        </is>
      </c>
      <c r="D14" s="16" t="inlineStr">
        <is>
          <t>Т2</t>
        </is>
      </c>
      <c r="E14" s="17" t="n">
        <v>6800</v>
      </c>
      <c r="F14" s="18">
        <f>E14*Нормативы!$C$18</f>
        <v/>
      </c>
      <c r="G14" s="19" t="inlineStr">
        <is>
          <t>—</t>
        </is>
      </c>
      <c r="H14" s="16" t="inlineStr">
        <is>
          <t>передан 29.07.2026</t>
        </is>
      </c>
      <c r="I14" s="24" t="inlineStr">
        <is>
          <t>—</t>
        </is>
      </c>
    </row>
    <row r="15">
      <c r="A15" s="16" t="n">
        <v>12</v>
      </c>
      <c r="B15" s="16" t="inlineStr">
        <is>
          <t>Ремарк</t>
        </is>
      </c>
      <c r="C15" s="16" t="inlineStr">
        <is>
          <t>B</t>
        </is>
      </c>
      <c r="D15" s="16" t="inlineStr">
        <is>
          <t>Т2</t>
        </is>
      </c>
      <c r="E15" s="17" t="n">
        <v>2930</v>
      </c>
      <c r="F15" s="18">
        <f>E15*Нормативы!$C$18</f>
        <v/>
      </c>
      <c r="G15" s="19" t="inlineStr">
        <is>
          <t>—</t>
        </is>
      </c>
      <c r="H15" s="16" t="inlineStr">
        <is>
          <t>передан 03.08.2026</t>
        </is>
      </c>
      <c r="I15" s="24" t="inlineStr">
        <is>
          <t>—</t>
        </is>
      </c>
    </row>
    <row r="16">
      <c r="A16" s="16" t="n">
        <v>13</v>
      </c>
      <c r="B16" s="16" t="inlineStr">
        <is>
          <t>Аллея Capital Park</t>
        </is>
      </c>
      <c r="C16" s="16" t="inlineStr">
        <is>
          <t>B</t>
        </is>
      </c>
      <c r="D16" s="16" t="inlineStr">
        <is>
          <t>Т2</t>
        </is>
      </c>
      <c r="E16" s="17" t="n">
        <v>3650</v>
      </c>
      <c r="F16" s="18">
        <f>E16*Нормативы!$C$18</f>
        <v/>
      </c>
      <c r="G16" s="19" t="inlineStr">
        <is>
          <t>—</t>
        </is>
      </c>
      <c r="H16" s="16" t="inlineStr">
        <is>
          <t>передан 03.08.2026, придомовая</t>
        </is>
      </c>
      <c r="I16" s="24" t="inlineStr">
        <is>
          <t>—</t>
        </is>
      </c>
    </row>
    <row r="17">
      <c r="A17" s="16" t="n">
        <v>14</v>
      </c>
      <c r="B17" s="16" t="inlineStr">
        <is>
          <t>Аллея Nura Esil 1, 2</t>
        </is>
      </c>
      <c r="C17" s="16" t="inlineStr">
        <is>
          <t>B</t>
        </is>
      </c>
      <c r="D17" s="16" t="inlineStr">
        <is>
          <t>Т2</t>
        </is>
      </c>
      <c r="E17" s="17" t="n">
        <v>1680</v>
      </c>
      <c r="F17" s="18">
        <f>E17*Нормативы!$C$18</f>
        <v/>
      </c>
      <c r="G17" s="19" t="inlineStr">
        <is>
          <t>—</t>
        </is>
      </c>
      <c r="H17" s="16" t="inlineStr">
        <is>
          <t>передан 03.08.2026, есть спортплощадка</t>
        </is>
      </c>
      <c r="I17" s="24" t="inlineStr">
        <is>
          <t>—</t>
        </is>
      </c>
    </row>
    <row r="18">
      <c r="A18" s="16" t="n">
        <v>15</v>
      </c>
      <c r="B18" s="16" t="inlineStr">
        <is>
          <t>Аллея Nura Esil 4</t>
        </is>
      </c>
      <c r="C18" s="16" t="inlineStr">
        <is>
          <t>B</t>
        </is>
      </c>
      <c r="D18" s="16" t="inlineStr">
        <is>
          <t>Т2</t>
        </is>
      </c>
      <c r="E18" s="17" t="n">
        <v>1680</v>
      </c>
      <c r="F18" s="18">
        <f>E18*Нормативы!$C$18</f>
        <v/>
      </c>
      <c r="G18" s="19" t="inlineStr">
        <is>
          <t>—</t>
        </is>
      </c>
      <c r="H18" s="16" t="inlineStr">
        <is>
          <t>передан 03.08.2026</t>
        </is>
      </c>
      <c r="I18" s="24" t="inlineStr">
        <is>
          <t>—</t>
        </is>
      </c>
    </row>
    <row r="19">
      <c r="A19" s="16" t="n">
        <v>16</v>
      </c>
      <c r="B19" s="16" t="inlineStr">
        <is>
          <t>Аллея Камал</t>
        </is>
      </c>
      <c r="C19" s="16" t="inlineStr">
        <is>
          <t>B</t>
        </is>
      </c>
      <c r="D19" s="16" t="inlineStr">
        <is>
          <t>Т2</t>
        </is>
      </c>
      <c r="E19" s="17" t="n">
        <v>3500</v>
      </c>
      <c r="F19" s="18">
        <f>E19*Нормативы!$C$18</f>
        <v/>
      </c>
      <c r="G19" s="19" t="inlineStr">
        <is>
          <t>—</t>
        </is>
      </c>
      <c r="H19" s="16" t="inlineStr">
        <is>
          <t>передан 03.08.2026</t>
        </is>
      </c>
      <c r="I19" s="24" t="inlineStr">
        <is>
          <t>—</t>
        </is>
      </c>
    </row>
    <row r="20">
      <c r="A20" s="16" t="n">
        <v>17</v>
      </c>
      <c r="B20" s="16" t="inlineStr">
        <is>
          <t>Аллея Арнау</t>
        </is>
      </c>
      <c r="C20" s="16" t="inlineStr">
        <is>
          <t>B</t>
        </is>
      </c>
      <c r="D20" s="16" t="inlineStr">
        <is>
          <t>Т2</t>
        </is>
      </c>
      <c r="E20" s="17" t="n">
        <v>4000</v>
      </c>
      <c r="F20" s="18">
        <f>E20*Нормативы!$C$18</f>
        <v/>
      </c>
      <c r="G20" s="19" t="inlineStr">
        <is>
          <t>—</t>
        </is>
      </c>
      <c r="H20" s="16" t="inlineStr">
        <is>
          <t>передан 03.08.2026, аллея-парк</t>
        </is>
      </c>
      <c r="I20" s="24" t="inlineStr">
        <is>
          <t>—</t>
        </is>
      </c>
    </row>
    <row r="21">
      <c r="A21" s="16" t="n">
        <v>18</v>
      </c>
      <c r="B21" s="22" t="inlineStr">
        <is>
          <t>Аллея Nexpo Юнион</t>
        </is>
      </c>
      <c r="C21" s="25" t="inlineStr">
        <is>
          <t>C</t>
        </is>
      </c>
      <c r="D21" s="16" t="inlineStr">
        <is>
          <t>Т2</t>
        </is>
      </c>
      <c r="E21" s="17" t="n">
        <v>2419</v>
      </c>
      <c r="F21" s="26" t="n">
        <v>4200</v>
      </c>
      <c r="G21" s="23" t="inlineStr">
        <is>
          <t>Пилот</t>
        </is>
      </c>
      <c r="H21" s="16" t="inlineStr">
        <is>
          <t>не передан, не обслуживается</t>
        </is>
      </c>
      <c r="I21" s="24" t="inlineStr">
        <is>
          <t>—</t>
        </is>
      </c>
    </row>
    <row r="22">
      <c r="A22" s="16" t="n">
        <v>19</v>
      </c>
      <c r="B22" s="16" t="inlineStr">
        <is>
          <t>Фридом — Зелёный Квартал</t>
        </is>
      </c>
      <c r="C22" s="25" t="inlineStr">
        <is>
          <t>C</t>
        </is>
      </c>
      <c r="D22" s="16" t="inlineStr">
        <is>
          <t>—</t>
        </is>
      </c>
      <c r="E22" s="17" t="n">
        <v>3600</v>
      </c>
      <c r="F22" s="18">
        <f>E22*Нормативы!$C$18</f>
        <v/>
      </c>
      <c r="G22" s="19" t="inlineStr">
        <is>
          <t>—</t>
        </is>
      </c>
      <c r="H22" s="16" t="inlineStr">
        <is>
          <t>парковка, вне типологии; уточнить юраудитом</t>
        </is>
      </c>
      <c r="I22" s="24" t="inlineStr">
        <is>
          <t>—</t>
        </is>
      </c>
    </row>
    <row r="23">
      <c r="A23" s="16" t="n">
        <v>20</v>
      </c>
      <c r="B23" s="16" t="inlineStr">
        <is>
          <t>Де Люкс 4</t>
        </is>
      </c>
      <c r="C23" s="25" t="inlineStr">
        <is>
          <t>C</t>
        </is>
      </c>
      <c r="D23" s="16" t="inlineStr">
        <is>
          <t>Т2</t>
        </is>
      </c>
      <c r="E23" s="17" t="n">
        <v>4200</v>
      </c>
      <c r="F23" s="18">
        <f>E23*Нормативы!$C$18</f>
        <v/>
      </c>
      <c r="G23" s="19" t="inlineStr">
        <is>
          <t>—</t>
        </is>
      </c>
      <c r="H23" s="16" t="inlineStr">
        <is>
          <t>не передан, не обслуживается</t>
        </is>
      </c>
      <c r="I23" s="24" t="inlineStr">
        <is>
          <t>—</t>
        </is>
      </c>
    </row>
    <row r="24">
      <c r="A24" s="16" t="n">
        <v>21</v>
      </c>
      <c r="B24" s="16" t="inlineStr">
        <is>
          <t>Насаждения ЖК Айтыс</t>
        </is>
      </c>
      <c r="C24" s="25" t="inlineStr">
        <is>
          <t>C</t>
        </is>
      </c>
      <c r="D24" s="16" t="inlineStr">
        <is>
          <t>Т1</t>
        </is>
      </c>
      <c r="E24" s="17" t="n">
        <v>300</v>
      </c>
      <c r="F24" s="18">
        <f>E24*Нормативы!$C$18</f>
        <v/>
      </c>
      <c r="G24" s="19" t="inlineStr">
        <is>
          <t>—</t>
        </is>
      </c>
      <c r="H24" s="16" t="inlineStr">
        <is>
          <t>не передан, не обслуживается, придомовая</t>
        </is>
      </c>
      <c r="I24" s="24" t="inlineStr">
        <is>
          <t>—</t>
        </is>
      </c>
    </row>
    <row r="25">
      <c r="A25" s="16" t="n">
        <v>22</v>
      </c>
      <c r="B25" s="16" t="inlineStr">
        <is>
          <t>Парк Авеню Эксклюзив</t>
        </is>
      </c>
      <c r="C25" s="25" t="inlineStr">
        <is>
          <t>C</t>
        </is>
      </c>
      <c r="D25" s="16" t="inlineStr">
        <is>
          <t>Т1</t>
        </is>
      </c>
      <c r="E25" s="17" t="n">
        <v>680</v>
      </c>
      <c r="F25" s="18">
        <f>E25*Нормативы!$C$18</f>
        <v/>
      </c>
      <c r="G25" s="19" t="inlineStr">
        <is>
          <t>—</t>
        </is>
      </c>
      <c r="H25" s="16" t="inlineStr">
        <is>
          <t>не передан, не обслуживается</t>
        </is>
      </c>
      <c r="I25" s="24" t="inlineStr">
        <is>
          <t>—</t>
        </is>
      </c>
    </row>
    <row r="26">
      <c r="A26" s="16" t="n">
        <v>23</v>
      </c>
      <c r="B26" s="16" t="inlineStr">
        <is>
          <t>Аллея Онли Мун</t>
        </is>
      </c>
      <c r="C26" s="25" t="inlineStr">
        <is>
          <t>C</t>
        </is>
      </c>
      <c r="D26" s="16" t="inlineStr">
        <is>
          <t>Т1</t>
        </is>
      </c>
      <c r="E26" s="17" t="n">
        <v>600</v>
      </c>
      <c r="F26" s="18">
        <f>E26*Нормативы!$C$18</f>
        <v/>
      </c>
      <c r="G26" s="19" t="inlineStr">
        <is>
          <t>—</t>
        </is>
      </c>
      <c r="H26" s="16" t="inlineStr">
        <is>
          <t>не передан, не обслуживается</t>
        </is>
      </c>
      <c r="I26" s="24" t="inlineStr">
        <is>
          <t>—</t>
        </is>
      </c>
    </row>
    <row r="27">
      <c r="A27" s="16" t="n">
        <v>24</v>
      </c>
      <c r="B27" s="16" t="inlineStr">
        <is>
          <t>Аллея Сердце Столицы 1, 2</t>
        </is>
      </c>
      <c r="C27" s="25" t="inlineStr">
        <is>
          <t>C</t>
        </is>
      </c>
      <c r="D27" s="16" t="inlineStr">
        <is>
          <t>Т2</t>
        </is>
      </c>
      <c r="E27" s="17" t="n">
        <v>1300</v>
      </c>
      <c r="F27" s="18">
        <f>E27*Нормативы!$C$18</f>
        <v/>
      </c>
      <c r="G27" s="19" t="inlineStr">
        <is>
          <t>—</t>
        </is>
      </c>
      <c r="H27" s="16" t="inlineStr">
        <is>
          <t>не передан, не обслуживается, придомовая</t>
        </is>
      </c>
      <c r="I27" s="24" t="inlineStr">
        <is>
          <t>—</t>
        </is>
      </c>
    </row>
    <row r="28">
      <c r="A28" s="16" t="n">
        <v>25</v>
      </c>
      <c r="B28" s="16" t="inlineStr">
        <is>
          <t>Атлант Аллея</t>
        </is>
      </c>
      <c r="C28" s="16" t="inlineStr">
        <is>
          <t>D</t>
        </is>
      </c>
      <c r="D28" s="16" t="inlineStr">
        <is>
          <t>Т2</t>
        </is>
      </c>
      <c r="E28" s="17" t="n">
        <v>1120</v>
      </c>
      <c r="F28" s="18">
        <f>E28*Нормативы!$C$18</f>
        <v/>
      </c>
      <c r="G28" s="19" t="inlineStr">
        <is>
          <t>—</t>
        </is>
      </c>
      <c r="H28" s="16" t="inlineStr">
        <is>
          <t>передан городу</t>
        </is>
      </c>
      <c r="I28" s="24" t="inlineStr">
        <is>
          <t>—</t>
        </is>
      </c>
    </row>
    <row r="29">
      <c r="A29" s="16" t="n">
        <v>26</v>
      </c>
      <c r="B29" s="16" t="inlineStr">
        <is>
          <t>Аллея Премьера</t>
        </is>
      </c>
      <c r="C29" s="16" t="inlineStr">
        <is>
          <t>D</t>
        </is>
      </c>
      <c r="D29" s="16" t="inlineStr">
        <is>
          <t>Т2</t>
        </is>
      </c>
      <c r="E29" s="17" t="n">
        <v>3900</v>
      </c>
      <c r="F29" s="18">
        <f>E29*Нормативы!$C$18</f>
        <v/>
      </c>
      <c r="G29" s="19" t="inlineStr">
        <is>
          <t>—</t>
        </is>
      </c>
      <c r="H29" s="16" t="inlineStr">
        <is>
          <t>передан городу</t>
        </is>
      </c>
      <c r="I29" s="24" t="inlineStr">
        <is>
          <t>—</t>
        </is>
      </c>
    </row>
    <row r="30">
      <c r="A30" s="16" t="n">
        <v>27</v>
      </c>
      <c r="B30" s="16" t="inlineStr">
        <is>
          <t>Аллея Nexpo Сити</t>
        </is>
      </c>
      <c r="C30" s="16" t="inlineStr">
        <is>
          <t>D</t>
        </is>
      </c>
      <c r="D30" s="16" t="inlineStr">
        <is>
          <t>Т2</t>
        </is>
      </c>
      <c r="E30" s="17" t="n">
        <v>2900</v>
      </c>
      <c r="F30" s="18">
        <f>E30*Нормативы!$C$18</f>
        <v/>
      </c>
      <c r="G30" s="19" t="inlineStr">
        <is>
          <t>—</t>
        </is>
      </c>
      <c r="H30" s="16" t="inlineStr">
        <is>
          <t>передан городу</t>
        </is>
      </c>
      <c r="I30" s="24" t="inlineStr">
        <is>
          <t>—</t>
        </is>
      </c>
    </row>
    <row r="31">
      <c r="A31" s="16" t="n">
        <v>28</v>
      </c>
      <c r="B31" s="16" t="inlineStr">
        <is>
          <t>Парк и зелёная зона ЗК</t>
        </is>
      </c>
      <c r="C31" s="16" t="inlineStr">
        <is>
          <t>D</t>
        </is>
      </c>
      <c r="D31" s="16" t="inlineStr">
        <is>
          <t>Т3</t>
        </is>
      </c>
      <c r="E31" s="17" t="n">
        <v>17000</v>
      </c>
      <c r="F31" s="18">
        <f>E31*Нормативы!$C$18</f>
        <v/>
      </c>
      <c r="G31" s="19" t="inlineStr">
        <is>
          <t>—</t>
        </is>
      </c>
      <c r="H31" s="16" t="inlineStr">
        <is>
          <t>передан городу, кандидат на ГЧП</t>
        </is>
      </c>
      <c r="I31" s="24" t="inlineStr">
        <is>
          <t>—</t>
        </is>
      </c>
    </row>
    <row r="32">
      <c r="A32" s="16" t="n">
        <v>29</v>
      </c>
      <c r="B32" s="16" t="inlineStr">
        <is>
          <t>Плэй Хаб Сезым Кала</t>
        </is>
      </c>
      <c r="C32" s="16" t="inlineStr">
        <is>
          <t>D</t>
        </is>
      </c>
      <c r="D32" s="16" t="inlineStr">
        <is>
          <t>Т3</t>
        </is>
      </c>
      <c r="E32" s="17" t="n">
        <v>3100</v>
      </c>
      <c r="F32" s="18">
        <f>E32*Нормативы!$C$18</f>
        <v/>
      </c>
      <c r="G32" s="19" t="inlineStr">
        <is>
          <t>—</t>
        </is>
      </c>
      <c r="H32" s="16" t="inlineStr">
        <is>
          <t>передан городу</t>
        </is>
      </c>
      <c r="I32" s="24" t="inlineStr">
        <is>
          <t>—</t>
        </is>
      </c>
    </row>
    <row r="33">
      <c r="A33" s="16" t="n">
        <v>30</v>
      </c>
      <c r="B33" s="16" t="inlineStr">
        <is>
          <t>Аллея Поколение, Инфинити</t>
        </is>
      </c>
      <c r="C33" s="16" t="inlineStr">
        <is>
          <t>D</t>
        </is>
      </c>
      <c r="D33" s="16" t="inlineStr">
        <is>
          <t>Т2</t>
        </is>
      </c>
      <c r="E33" s="17" t="n">
        <v>5500</v>
      </c>
      <c r="F33" s="18">
        <f>E33*Нормативы!$C$18</f>
        <v/>
      </c>
      <c r="G33" s="19" t="inlineStr">
        <is>
          <t>—</t>
        </is>
      </c>
      <c r="H33" s="16" t="inlineStr">
        <is>
          <t>передан городу</t>
        </is>
      </c>
      <c r="I33" s="24" t="inlineStr">
        <is>
          <t>—</t>
        </is>
      </c>
    </row>
    <row r="34">
      <c r="A34" s="16" t="n">
        <v>31</v>
      </c>
      <c r="B34" s="16" t="inlineStr">
        <is>
          <t>Аллея Асыл Мура</t>
        </is>
      </c>
      <c r="C34" s="16" t="inlineStr">
        <is>
          <t>D</t>
        </is>
      </c>
      <c r="D34" s="16" t="inlineStr">
        <is>
          <t>Т2</t>
        </is>
      </c>
      <c r="E34" s="17" t="n">
        <v>1100</v>
      </c>
      <c r="F34" s="18">
        <f>E34*Нормативы!$C$18</f>
        <v/>
      </c>
      <c r="G34" s="19" t="inlineStr">
        <is>
          <t>—</t>
        </is>
      </c>
      <c r="H34" s="16" t="inlineStr">
        <is>
          <t>передан городу</t>
        </is>
      </c>
      <c r="I34" s="24" t="inlineStr">
        <is>
          <t>—</t>
        </is>
      </c>
    </row>
    <row r="35">
      <c r="A35" s="16" t="n">
        <v>32</v>
      </c>
      <c r="B35" s="16" t="inlineStr">
        <is>
          <t>Sphere Park</t>
        </is>
      </c>
      <c r="C35" s="16" t="inlineStr">
        <is>
          <t>ГЧП</t>
        </is>
      </c>
      <c r="D35" s="16" t="inlineStr">
        <is>
          <t>Т4</t>
        </is>
      </c>
      <c r="E35" s="17" t="n">
        <v>70000</v>
      </c>
      <c r="F35" s="17" t="n">
        <v>90000</v>
      </c>
      <c r="G35" s="19" t="inlineStr">
        <is>
          <t>—</t>
        </is>
      </c>
      <c r="H35" s="16" t="inlineStr">
        <is>
          <t>проект ГЧП (BTO): парк 7 га + озеро 2 га у школы BINOM</t>
        </is>
      </c>
      <c r="I35" s="24" t="inlineStr">
        <is>
          <t>—</t>
        </is>
      </c>
    </row>
    <row r="36">
      <c r="A36" s="16" t="n">
        <v>33</v>
      </c>
      <c r="B36" s="16" t="inlineStr">
        <is>
          <t>Аллеи ЖК Flora 1 + 2 (кластер)</t>
        </is>
      </c>
      <c r="C36" s="16" t="inlineStr">
        <is>
          <t>A</t>
        </is>
      </c>
      <c r="D36" s="16" t="inlineStr">
        <is>
          <t>Т1</t>
        </is>
      </c>
      <c r="E36" s="17" t="n">
        <v>676</v>
      </c>
      <c r="F36" s="18">
        <f>F11+F12</f>
        <v/>
      </c>
      <c r="G36" s="19" t="inlineStr">
        <is>
          <t>—</t>
        </is>
      </c>
      <c r="H36" s="16" t="inlineStr">
        <is>
          <t>вспомогательная строка: две Flora вместе</t>
        </is>
      </c>
      <c r="I36" s="20" t="n">
        <v>2</v>
      </c>
    </row>
    <row r="37">
      <c r="A37" s="16" t="n">
        <v>34</v>
      </c>
      <c r="B37" s="16" t="inlineStr">
        <is>
          <t>Пилотный кластер: Хедлайнер + Flora + Аура</t>
        </is>
      </c>
      <c r="C37" s="16" t="inlineStr">
        <is>
          <t>A</t>
        </is>
      </c>
      <c r="D37" s="16" t="inlineStr">
        <is>
          <t>Т2</t>
        </is>
      </c>
      <c r="E37" s="17" t="n">
        <v>5476</v>
      </c>
      <c r="F37" s="18">
        <f>F8+F9+F11+F12</f>
        <v/>
      </c>
      <c r="G37" s="19" t="inlineStr">
        <is>
          <t>—</t>
        </is>
      </c>
      <c r="H37" s="16" t="inlineStr">
        <is>
          <t>пилот: 4 аллеи одной командой — Хедлайнер Эксклюзив, Flora 1, Flora 2, Аура</t>
        </is>
      </c>
      <c r="I37" s="20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3" t="inlineStr">
        <is>
          <t>Справочник нормативов · расходная часть</t>
        </is>
      </c>
    </row>
    <row r="2">
      <c r="A2" s="14" t="inlineStr">
        <is>
          <t>Жёлтые ячейки — редактируемые ставки. Меняете норматив здесь — расходная часть всех моделей пересчитывается. Заменить фактами BI Green.</t>
        </is>
      </c>
    </row>
    <row r="4">
      <c r="A4" s="27" t="inlineStr">
        <is>
          <t>Показатель</t>
        </is>
      </c>
      <c r="B4" s="27" t="inlineStr">
        <is>
          <t>Ед. изм.</t>
        </is>
      </c>
      <c r="C4" s="27" t="inlineStr">
        <is>
          <t>Т1 мин</t>
        </is>
      </c>
      <c r="D4" s="27" t="inlineStr">
        <is>
          <t>Т1 макс</t>
        </is>
      </c>
      <c r="E4" s="27" t="inlineStr">
        <is>
          <t>Т2 мин</t>
        </is>
      </c>
      <c r="F4" s="27" t="inlineStr">
        <is>
          <t>Т2 макс</t>
        </is>
      </c>
      <c r="G4" s="27" t="inlineStr">
        <is>
          <t>Т3 мин</t>
        </is>
      </c>
      <c r="H4" s="27" t="inlineStr">
        <is>
          <t>Т3 макс</t>
        </is>
      </c>
      <c r="I4" s="27" t="inlineStr">
        <is>
          <t>Т4 мин</t>
        </is>
      </c>
      <c r="J4" s="27" t="inlineStr">
        <is>
          <t>Т4 макс</t>
        </is>
      </c>
    </row>
    <row r="5">
      <c r="A5" s="6" t="inlineStr">
        <is>
          <t>Уборка и снегоуборка</t>
        </is>
      </c>
      <c r="B5" s="28" t="inlineStr">
        <is>
          <t>тг/м² общей пл. в месяц</t>
        </is>
      </c>
      <c r="C5" s="29" t="n">
        <v>60</v>
      </c>
      <c r="D5" s="29" t="n">
        <v>90</v>
      </c>
      <c r="E5" s="29" t="n">
        <v>30</v>
      </c>
      <c r="F5" s="29" t="n">
        <v>55</v>
      </c>
      <c r="G5" s="29" t="n">
        <v>60</v>
      </c>
      <c r="H5" s="29" t="n">
        <v>100</v>
      </c>
      <c r="I5" s="29" t="n">
        <v>30</v>
      </c>
      <c r="J5" s="29" t="n">
        <v>60</v>
      </c>
    </row>
    <row r="6">
      <c r="A6" s="6" t="inlineStr">
        <is>
          <t>Озеленение и полив (апр–окт)</t>
        </is>
      </c>
      <c r="B6" s="28" t="inlineStr">
        <is>
          <t>тг/м² озеленения в месяц</t>
        </is>
      </c>
      <c r="C6" s="29" t="n">
        <v>90</v>
      </c>
      <c r="D6" s="29" t="n">
        <v>160</v>
      </c>
      <c r="E6" s="29" t="n">
        <v>40</v>
      </c>
      <c r="F6" s="29" t="n">
        <v>70</v>
      </c>
      <c r="G6" s="29" t="n">
        <v>55</v>
      </c>
      <c r="H6" s="29" t="n">
        <v>90</v>
      </c>
      <c r="I6" s="29" t="n">
        <v>30</v>
      </c>
      <c r="J6" s="29" t="n">
        <v>60</v>
      </c>
    </row>
    <row r="7">
      <c r="A7" s="6" t="inlineStr">
        <is>
          <t>Свет, электро, digital</t>
        </is>
      </c>
      <c r="B7" s="28" t="inlineStr">
        <is>
          <t>тг/м² общей пл. в год</t>
        </is>
      </c>
      <c r="C7" s="29" t="n">
        <v>155</v>
      </c>
      <c r="D7" s="29" t="n">
        <v>250</v>
      </c>
      <c r="E7" s="29" t="n">
        <v>65</v>
      </c>
      <c r="F7" s="29" t="n">
        <v>115</v>
      </c>
      <c r="G7" s="29" t="n">
        <v>190</v>
      </c>
      <c r="H7" s="29" t="n">
        <v>315</v>
      </c>
      <c r="I7" s="29" t="n">
        <v>80</v>
      </c>
      <c r="J7" s="29" t="n">
        <v>150</v>
      </c>
    </row>
    <row r="8">
      <c r="A8" s="6" t="inlineStr">
        <is>
          <t>Доля ставки координатора</t>
        </is>
      </c>
      <c r="B8" s="28" t="inlineStr">
        <is>
          <t>доля ставки</t>
        </is>
      </c>
      <c r="C8" s="30" t="n">
        <v>0.2</v>
      </c>
      <c r="D8" s="30" t="n">
        <v>0.2</v>
      </c>
      <c r="E8" s="30" t="n">
        <v>0.33</v>
      </c>
      <c r="F8" s="30" t="n">
        <v>0.33</v>
      </c>
      <c r="G8" s="30" t="n">
        <v>0.6</v>
      </c>
      <c r="H8" s="30" t="n">
        <v>0.6</v>
      </c>
      <c r="I8" s="30" t="n">
        <v>0</v>
      </c>
      <c r="J8" s="30" t="n">
        <v>0</v>
      </c>
    </row>
    <row r="9">
      <c r="A9" s="6" t="inlineStr">
        <is>
          <t>Число событий в год</t>
        </is>
      </c>
      <c r="B9" s="28" t="inlineStr">
        <is>
          <t>шт</t>
        </is>
      </c>
      <c r="C9" s="29" t="n">
        <v>0</v>
      </c>
      <c r="D9" s="29" t="n">
        <v>0</v>
      </c>
      <c r="E9" s="29" t="n">
        <v>20</v>
      </c>
      <c r="F9" s="29" t="n">
        <v>30</v>
      </c>
      <c r="G9" s="29" t="n">
        <v>30</v>
      </c>
      <c r="H9" s="29" t="n">
        <v>45</v>
      </c>
      <c r="I9" s="29" t="n">
        <v>40</v>
      </c>
      <c r="J9" s="29" t="n">
        <v>60</v>
      </c>
    </row>
    <row r="10">
      <c r="A10" s="6" t="inlineStr">
        <is>
          <t>Зимний пакет (каток, горка, свет)</t>
        </is>
      </c>
      <c r="B10" s="28" t="inlineStr">
        <is>
          <t>млн тг/год</t>
        </is>
      </c>
      <c r="C10" s="29" t="n">
        <v>0</v>
      </c>
      <c r="D10" s="29" t="n">
        <v>0</v>
      </c>
      <c r="E10" s="29" t="n">
        <v>0</v>
      </c>
      <c r="F10" s="29" t="n">
        <v>0</v>
      </c>
      <c r="G10" s="31" t="n">
        <v>2.5</v>
      </c>
      <c r="H10" s="31" t="n">
        <v>4.5</v>
      </c>
      <c r="I10" s="29" t="n">
        <v>6</v>
      </c>
      <c r="J10" s="29" t="n">
        <v>12</v>
      </c>
    </row>
    <row r="11">
      <c r="A11" s="6" t="inlineStr">
        <is>
          <t>Персонал парка (только Т4)</t>
        </is>
      </c>
      <c r="B11" s="28" t="inlineStr">
        <is>
          <t>млн тг/год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8</v>
      </c>
      <c r="J11" s="29" t="n">
        <v>14</v>
      </c>
    </row>
    <row r="12">
      <c r="A12" s="6" t="inlineStr">
        <is>
          <t>CAPEX активации (разово, план)</t>
        </is>
      </c>
      <c r="B12" s="28" t="inlineStr">
        <is>
          <t>млн тг, единовременно</t>
        </is>
      </c>
      <c r="C12" s="29" t="n">
        <v>3</v>
      </c>
      <c r="D12" s="29" t="n">
        <v>8</v>
      </c>
      <c r="E12" s="29" t="n">
        <v>15</v>
      </c>
      <c r="F12" s="29" t="n">
        <v>40</v>
      </c>
      <c r="G12" s="29" t="n">
        <v>40</v>
      </c>
      <c r="H12" s="29" t="n">
        <v>120</v>
      </c>
      <c r="I12" s="29" t="n">
        <v>0</v>
      </c>
      <c r="J12" s="29" t="n">
        <v>0</v>
      </c>
    </row>
    <row r="14">
      <c r="A14" s="32" t="inlineStr">
        <is>
          <t>ОБЩИЕ НОРМАТИВЫ (мин / макс)</t>
        </is>
      </c>
    </row>
    <row r="15">
      <c r="A15" s="6" t="inlineStr">
        <is>
          <t>Ставка координатора кластера</t>
        </is>
      </c>
      <c r="B15" s="28" t="inlineStr">
        <is>
          <t>тыс тг/мес</t>
        </is>
      </c>
      <c r="C15" s="29" t="n">
        <v>300</v>
      </c>
      <c r="D15" s="29" t="n">
        <v>420</v>
      </c>
      <c r="E15" s="33" t="n"/>
      <c r="F15" s="33" t="n"/>
      <c r="G15" s="33" t="n"/>
      <c r="H15" s="33" t="n"/>
      <c r="I15" s="33" t="n"/>
      <c r="J15" s="33" t="n"/>
    </row>
    <row r="16">
      <c r="A16" s="6" t="inlineStr">
        <is>
          <t>Цена события с продвижением</t>
        </is>
      </c>
      <c r="B16" s="28" t="inlineStr">
        <is>
          <t>тыс тг</t>
        </is>
      </c>
      <c r="C16" s="29" t="n">
        <v>95</v>
      </c>
      <c r="D16" s="29" t="n">
        <v>130</v>
      </c>
      <c r="E16" s="33" t="n"/>
      <c r="F16" s="33" t="n"/>
      <c r="G16" s="33" t="n"/>
      <c r="H16" s="33" t="n"/>
      <c r="I16" s="33" t="n"/>
      <c r="J16" s="33" t="n"/>
    </row>
    <row r="17">
      <c r="A17" s="6" t="inlineStr">
        <is>
          <t>Ремфонд, % в год от активов и вложений</t>
        </is>
      </c>
      <c r="B17" s="28" t="inlineStr">
        <is>
          <t>% в год</t>
        </is>
      </c>
      <c r="C17" s="34" t="n">
        <v>0.01</v>
      </c>
      <c r="D17" s="34" t="n">
        <v>0.015</v>
      </c>
      <c r="E17" s="33" t="n"/>
      <c r="F17" s="33" t="n"/>
      <c r="G17" s="33" t="n"/>
      <c r="H17" s="33" t="n"/>
      <c r="I17" s="33" t="n"/>
      <c r="J17" s="33" t="n"/>
    </row>
    <row r="18">
      <c r="A18" s="6" t="inlineStr">
        <is>
          <t>Коэффициент: общая площадь / озеленение</t>
        </is>
      </c>
      <c r="B18" s="28" t="inlineStr">
        <is>
          <t>×</t>
        </is>
      </c>
      <c r="C18" s="35" t="n">
        <v>2</v>
      </c>
      <c r="D18" s="35" t="n">
        <v>2</v>
      </c>
      <c r="E18" s="33" t="n"/>
      <c r="F18" s="33" t="n"/>
      <c r="G18" s="33" t="n"/>
      <c r="H18" s="33" t="n"/>
      <c r="I18" s="33" t="n"/>
      <c r="J18" s="33" t="n"/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0" customWidth="1" min="4" max="4"/>
    <col width="10" customWidth="1" min="5" max="5"/>
    <col width="9.5" customWidth="1" min="6" max="6"/>
    <col width="8.5" customWidth="1" min="7" max="7"/>
    <col width="8.5" customWidth="1" min="8" max="8"/>
    <col width="9" customWidth="1" min="9" max="9"/>
    <col width="9.5" customWidth="1" min="10" max="10"/>
    <col width="9" customWidth="1" min="11" max="11"/>
    <col width="56" customWidth="1" min="12" max="12"/>
  </cols>
  <sheetData>
    <row r="1">
      <c r="A1" s="13" t="inlineStr">
        <is>
          <t>Активы на балансе · справки застройщиков, август 2026</t>
        </is>
      </c>
    </row>
    <row r="2">
      <c r="A2" s="14" t="inlineStr">
        <is>
          <t>Балансовая стоимость по справкам ТОО-застройщиков, млн тг. Ремфонд в моделях = ставка (лист «Нормативы») × (активы объекта + плановый CAPEX активации).</t>
        </is>
      </c>
    </row>
    <row r="3">
      <c r="A3" s="36" t="inlineStr">
        <is>
          <t>Объект</t>
        </is>
      </c>
      <c r="B3" s="37" t="inlineStr">
        <is>
          <t>Озеленение, м²</t>
        </is>
      </c>
      <c r="C3" s="37" t="inlineStr">
        <is>
          <t>Общая, м²</t>
        </is>
      </c>
      <c r="D3" s="37" t="inlineStr">
        <is>
          <t>Покрытия</t>
        </is>
      </c>
      <c r="E3" s="37" t="inlineStr">
        <is>
          <t>Насаждения</t>
        </is>
      </c>
      <c r="F3" s="37" t="inlineStr">
        <is>
          <t>МАФы</t>
        </is>
      </c>
      <c r="G3" s="37" t="inlineStr">
        <is>
          <t>Свет</t>
        </is>
      </c>
      <c r="H3" s="37" t="inlineStr">
        <is>
          <t>Полив</t>
        </is>
      </c>
      <c r="I3" s="37" t="inlineStr">
        <is>
          <t>Земля</t>
        </is>
      </c>
      <c r="J3" s="37" t="inlineStr">
        <is>
          <t>Итого</t>
        </is>
      </c>
      <c r="K3" s="37" t="inlineStr">
        <is>
          <t>тыс тг/м²</t>
        </is>
      </c>
      <c r="L3" s="36" t="inlineStr">
        <is>
          <t>Что на балансе (по справке)</t>
        </is>
      </c>
    </row>
    <row r="4">
      <c r="A4" s="22" t="inlineStr">
        <is>
          <t>Сквер Авеню 5</t>
        </is>
      </c>
      <c r="B4" s="18">
        <f>IFERROR(INDEX(Объекты!$E$4:$E$37,MATCH($A4,Объекты!$B$4:$B$37,0)),"")</f>
        <v/>
      </c>
      <c r="C4" s="18">
        <f>IFERROR(INDEX(Объекты!$F$4:$F$37,MATCH($A4,Объекты!$B$4:$B$37,0)),"")</f>
        <v/>
      </c>
      <c r="D4" s="38" t="n">
        <v>0</v>
      </c>
      <c r="E4" s="38" t="n">
        <v>2.09</v>
      </c>
      <c r="F4" s="38" t="n">
        <v>0</v>
      </c>
      <c r="G4" s="38" t="n">
        <v>0</v>
      </c>
      <c r="H4" s="38" t="n">
        <v>0</v>
      </c>
      <c r="I4" s="38" t="n">
        <v>0</v>
      </c>
      <c r="J4" s="39">
        <f>SUM(D4:I4)</f>
        <v/>
      </c>
      <c r="K4" s="40">
        <f>IFERROR(J4/C4*1000,"")</f>
        <v/>
      </c>
      <c r="L4" s="41" t="inlineStr">
        <is>
          <t>только озеленение: 458 растений (вяз-изгородь 408 шт, 18 сосен, 11 елей). Света, МАФов и покрытий на балансе нет</t>
        </is>
      </c>
    </row>
    <row r="5">
      <c r="A5" s="22" t="inlineStr">
        <is>
          <t>Аллея ЖК Flora 1</t>
        </is>
      </c>
      <c r="B5" s="18">
        <f>IFERROR(INDEX(Объекты!$E$4:$E$37,MATCH($A5,Объекты!$B$4:$B$37,0)),"")</f>
        <v/>
      </c>
      <c r="C5" s="18">
        <f>IFERROR(INDEX(Объекты!$F$4:$F$37,MATCH($A5,Объекты!$B$4:$B$37,0)),"")</f>
        <v/>
      </c>
      <c r="D5" s="38" t="n">
        <v>2.5</v>
      </c>
      <c r="E5" s="38" t="n">
        <v>32.11</v>
      </c>
      <c r="F5" s="38" t="n">
        <v>2.23</v>
      </c>
      <c r="G5" s="38" t="n">
        <v>5.23</v>
      </c>
      <c r="H5" s="38" t="n">
        <v>0</v>
      </c>
      <c r="I5" s="38" t="n">
        <v>0</v>
      </c>
      <c r="J5" s="39">
        <f>SUM(D5:I5)</f>
        <v/>
      </c>
      <c r="K5" s="40">
        <f>IFERROR(J5/C5*1000,"")</f>
        <v/>
      </c>
      <c r="L5" s="41" t="inlineStr">
        <is>
          <t>брусчатка 279 м², 1 647 кустарников + 515 многолетников + 49 деревьев, 10 скамеек, 20 светильников, гирлянда 300 м</t>
        </is>
      </c>
    </row>
    <row r="6">
      <c r="A6" s="22" t="inlineStr">
        <is>
          <t>Аллея ЖК Flora 2</t>
        </is>
      </c>
      <c r="B6" s="18">
        <f>IFERROR(INDEX(Объекты!$E$4:$E$37,MATCH($A6,Объекты!$B$4:$B$37,0)),"")</f>
        <v/>
      </c>
      <c r="C6" s="18">
        <f>IFERROR(INDEX(Объекты!$F$4:$F$37,MATCH($A6,Объекты!$B$4:$B$37,0)),"")</f>
        <v/>
      </c>
      <c r="D6" s="38" t="n">
        <v>2.07</v>
      </c>
      <c r="E6" s="38" t="n">
        <v>20.68</v>
      </c>
      <c r="F6" s="38" t="n">
        <v>1.47</v>
      </c>
      <c r="G6" s="38" t="n">
        <v>5.85</v>
      </c>
      <c r="H6" s="38" t="n">
        <v>0</v>
      </c>
      <c r="I6" s="38" t="n">
        <v>0</v>
      </c>
      <c r="J6" s="39">
        <f>SUM(D6:I6)</f>
        <v/>
      </c>
      <c r="K6" s="40">
        <f>IFERROR(J6/C6*1000,"")</f>
        <v/>
      </c>
      <c r="L6" s="41" t="inlineStr">
        <is>
          <t>брусчатка 226 м², 1 087 кустарников + 34 дерева, 8 скамеек, 20 светильников, гирлянда 480 м</t>
        </is>
      </c>
    </row>
    <row r="7">
      <c r="A7" s="22" t="inlineStr">
        <is>
          <t>Аллея Хедлайнер Эксклюзив</t>
        </is>
      </c>
      <c r="B7" s="18">
        <f>IFERROR(INDEX(Объекты!$E$4:$E$37,MATCH($A7,Объекты!$B$4:$B$37,0)),"")</f>
        <v/>
      </c>
      <c r="C7" s="18">
        <f>IFERROR(INDEX(Объекты!$F$4:$F$37,MATCH($A7,Объекты!$B$4:$B$37,0)),"")</f>
        <v/>
      </c>
      <c r="D7" s="42" t="n">
        <v>0</v>
      </c>
      <c r="E7" s="42" t="n">
        <v>0</v>
      </c>
      <c r="F7" s="42" t="n">
        <v>0</v>
      </c>
      <c r="G7" s="42" t="n">
        <v>0</v>
      </c>
      <c r="H7" s="42" t="n">
        <v>0</v>
      </c>
      <c r="I7" s="42" t="n">
        <v>0</v>
      </c>
      <c r="J7" s="39">
        <f>SUM(D7:I7)</f>
        <v/>
      </c>
      <c r="K7" s="40">
        <f>IFERROR(J7/C7*1000,"")</f>
        <v/>
      </c>
      <c r="L7" s="41" t="inlineStr">
        <is>
          <t>СПРАВКА ЗАПРОШЕНА у застройщика — внести после нулевого спринта (жёлтые ячейки)</t>
        </is>
      </c>
    </row>
    <row r="8">
      <c r="A8" s="16" t="inlineStr">
        <is>
          <t>Аура Аллея</t>
        </is>
      </c>
      <c r="B8" s="18">
        <f>IFERROR(INDEX(Объекты!$E$4:$E$37,MATCH($A8,Объекты!$B$4:$B$37,0)),"")</f>
        <v/>
      </c>
      <c r="C8" s="18">
        <f>IFERROR(INDEX(Объекты!$F$4:$F$37,MATCH($A8,Объекты!$B$4:$B$37,0)),"")</f>
        <v/>
      </c>
      <c r="D8" s="38" t="n">
        <v>14.97</v>
      </c>
      <c r="E8" s="38" t="n">
        <v>38.65</v>
      </c>
      <c r="F8" s="38" t="n">
        <v>2.38</v>
      </c>
      <c r="G8" s="38" t="n">
        <v>4.26</v>
      </c>
      <c r="H8" s="38" t="n">
        <v>0</v>
      </c>
      <c r="I8" s="38" t="n">
        <v>0</v>
      </c>
      <c r="J8" s="39">
        <f>SUM(D8:I8)</f>
        <v/>
      </c>
      <c r="K8" s="40">
        <f>IFERROR(J8/C8*1000,"")</f>
        <v/>
      </c>
      <c r="L8" s="41" t="inlineStr">
        <is>
          <t>брусчатка 2 000 м², 2 226 кустарников + 42 дерева, 11 скамеек, 14 светильников 3,5 м, гирлянда 250 м</t>
        </is>
      </c>
    </row>
    <row r="9">
      <c r="A9" s="16" t="inlineStr">
        <is>
          <t>Аллея Nexpo Классик</t>
        </is>
      </c>
      <c r="B9" s="18">
        <f>IFERROR(INDEX(Объекты!$E$4:$E$37,MATCH($A9,Объекты!$B$4:$B$37,0)),"")</f>
        <v/>
      </c>
      <c r="C9" s="18">
        <f>IFERROR(INDEX(Объекты!$F$4:$F$37,MATCH($A9,Объекты!$B$4:$B$37,0)),"")</f>
        <v/>
      </c>
      <c r="D9" s="38" t="n">
        <v>0</v>
      </c>
      <c r="E9" s="38" t="n">
        <v>21.89</v>
      </c>
      <c r="F9" s="38" t="n">
        <v>53.75</v>
      </c>
      <c r="G9" s="38" t="n">
        <v>1.3</v>
      </c>
      <c r="H9" s="38" t="n">
        <v>1.34</v>
      </c>
      <c r="I9" s="38" t="n">
        <v>57.09</v>
      </c>
      <c r="J9" s="39">
        <f>SUM(D9:I9)</f>
        <v/>
      </c>
      <c r="K9" s="40">
        <f>IFERROR(J9/C9*1000,"")</f>
        <v/>
      </c>
      <c r="L9" s="41" t="inlineStr">
        <is>
          <t>детское ядро: две горки (26,2 и 14,5 млн), карусель, батут, качели, тренажёр; автополив Hunter/Grundfos; земля 0,37 га</t>
        </is>
      </c>
    </row>
    <row r="10">
      <c r="A10" s="16" t="inlineStr">
        <is>
          <t>Аллея Гранд Туран Комфорт</t>
        </is>
      </c>
      <c r="B10" s="18">
        <f>IFERROR(INDEX(Объекты!$E$4:$E$37,MATCH($A10,Объекты!$B$4:$B$37,0)),"")</f>
        <v/>
      </c>
      <c r="C10" s="18">
        <f>IFERROR(INDEX(Объекты!$F$4:$F$37,MATCH($A10,Объекты!$B$4:$B$37,0)),"")</f>
        <v/>
      </c>
      <c r="D10" s="38" t="n">
        <v>43.81</v>
      </c>
      <c r="E10" s="38" t="n">
        <v>46.89</v>
      </c>
      <c r="F10" s="38" t="n">
        <v>29.55</v>
      </c>
      <c r="G10" s="38" t="n">
        <v>8.81</v>
      </c>
      <c r="H10" s="38" t="n">
        <v>0</v>
      </c>
      <c r="I10" s="38" t="n">
        <v>0</v>
      </c>
      <c r="J10" s="39">
        <f>SUM(D10:I10)</f>
        <v/>
      </c>
      <c r="K10" s="40">
        <f>IFERROR(J10/C10*1000,"")</f>
        <v/>
      </c>
      <c r="L10" s="41" t="inlineStr">
        <is>
          <t>спецификация: покрытия ~5 200 м², 10 игровых комплексов, 27 скамеек, 21 урна, 23 опоры света (материалы, без НДС)</t>
        </is>
      </c>
    </row>
    <row r="11">
      <c r="A11" s="16" t="inlineStr">
        <is>
          <t>Плейхаб Аква 1</t>
        </is>
      </c>
      <c r="B11" s="18">
        <f>IFERROR(INDEX(Объекты!$E$4:$E$37,MATCH($A11,Объекты!$B$4:$B$37,0)),"")</f>
        <v/>
      </c>
      <c r="C11" s="18">
        <f>IFERROR(INDEX(Объекты!$F$4:$F$37,MATCH($A11,Объекты!$B$4:$B$37,0)),"")</f>
        <v/>
      </c>
      <c r="D11" s="38" t="n">
        <v>0</v>
      </c>
      <c r="E11" s="38" t="n">
        <v>6.83</v>
      </c>
      <c r="F11" s="38" t="n">
        <v>23</v>
      </c>
      <c r="G11" s="38" t="n">
        <v>1.26</v>
      </c>
      <c r="H11" s="38" t="n">
        <v>0.7</v>
      </c>
      <c r="I11" s="38" t="n">
        <v>0</v>
      </c>
      <c r="J11" s="39">
        <f>SUM(D11:I11)</f>
        <v/>
      </c>
      <c r="K11" s="40">
        <f>IFERROR(J11/C11*1000,"")</f>
        <v/>
      </c>
      <c r="L11" s="41" t="inlineStr">
        <is>
          <t>спортядро: огороженное поле 312 м² искусственной травы (борт 5 м), баскетбол, воркаут-серия, 4 вида качелей, канатный лаз</t>
        </is>
      </c>
    </row>
    <row r="12">
      <c r="A12" s="16" t="inlineStr">
        <is>
          <t>Аллея Nexpo Юнион</t>
        </is>
      </c>
      <c r="B12" s="18">
        <f>IFERROR(INDEX(Объекты!$E$4:$E$37,MATCH($A12,Объекты!$B$4:$B$37,0)),"")</f>
        <v/>
      </c>
      <c r="C12" s="18">
        <f>IFERROR(INDEX(Объекты!$F$4:$F$37,MATCH($A12,Объекты!$B$4:$B$37,0)),"")</f>
        <v/>
      </c>
      <c r="D12" s="38" t="n">
        <v>0</v>
      </c>
      <c r="E12" s="38" t="n">
        <v>16.52</v>
      </c>
      <c r="F12" s="38" t="n">
        <v>52.11</v>
      </c>
      <c r="G12" s="38" t="n">
        <v>4.08</v>
      </c>
      <c r="H12" s="38" t="n">
        <v>0.72</v>
      </c>
      <c r="I12" s="38" t="n">
        <v>0</v>
      </c>
      <c r="J12" s="39">
        <f>SUM(D12:I12)</f>
        <v/>
      </c>
      <c r="K12" s="40">
        <f>IFERROR(J12/C12*1000,"")</f>
        <v/>
      </c>
      <c r="L12" s="41" t="inlineStr">
        <is>
          <t>игровой комплекс 42 млн (тартан, скалодром, тоннели), воркаут, теннисный стол, 54 светильника, автополив</t>
        </is>
      </c>
    </row>
    <row r="13">
      <c r="A13" s="16" t="inlineStr">
        <is>
          <t>Фридом — Зелёный Квартал</t>
        </is>
      </c>
      <c r="B13" s="18">
        <f>IFERROR(INDEX(Объекты!$E$4:$E$37,MATCH($A13,Объекты!$B$4:$B$37,0)),"")</f>
        <v/>
      </c>
      <c r="C13" s="18">
        <f>IFERROR(INDEX(Объекты!$F$4:$F$37,MATCH($A13,Объекты!$B$4:$B$37,0)),"")</f>
        <v/>
      </c>
      <c r="D13" s="38" t="n">
        <v>0</v>
      </c>
      <c r="E13" s="38" t="n">
        <v>0</v>
      </c>
      <c r="F13" s="38" t="n">
        <v>0</v>
      </c>
      <c r="G13" s="38" t="n">
        <v>0</v>
      </c>
      <c r="H13" s="38" t="n">
        <v>0</v>
      </c>
      <c r="I13" s="38" t="n">
        <v>0</v>
      </c>
      <c r="J13" s="39">
        <f>SUM(D13:I13)</f>
        <v/>
      </c>
      <c r="K13" s="40">
        <f>IFERROR(J13/C13*1000,"")</f>
        <v/>
      </c>
      <c r="L13" s="41" t="inlineStr">
        <is>
          <t>справка без стоимостей: 47 деревьев (сосна, осина, клён) — вне шорт-листа</t>
        </is>
      </c>
    </row>
    <row r="15">
      <c r="A15" s="43" t="inlineStr">
        <is>
          <t>Итого шорт-лист (9 объектов)</t>
        </is>
      </c>
      <c r="B15" s="44">
        <f>SUM(B4:B12)</f>
        <v/>
      </c>
      <c r="C15" s="44">
        <f>SUM(C4:C12)</f>
        <v/>
      </c>
      <c r="D15" s="45">
        <f>SUM(D4:D12)</f>
        <v/>
      </c>
      <c r="E15" s="45">
        <f>SUM(E4:E12)</f>
        <v/>
      </c>
      <c r="F15" s="45">
        <f>SUM(F4:F12)</f>
        <v/>
      </c>
      <c r="G15" s="45">
        <f>SUM(G4:G12)</f>
        <v/>
      </c>
      <c r="H15" s="45">
        <f>SUM(H4:H12)</f>
        <v/>
      </c>
      <c r="I15" s="45">
        <f>SUM(I4:I12)</f>
        <v/>
      </c>
      <c r="J15" s="45">
        <f>SUM(J4:J12)</f>
        <v/>
      </c>
      <c r="K15" s="45">
        <f>IFERROR(J15/C15*1000,"")</f>
        <v/>
      </c>
      <c r="L15" s="46" t="n"/>
    </row>
    <row r="16">
      <c r="A16" s="22" t="inlineStr">
        <is>
          <t>Аллеи ЖК Flora 1 + 2 (кластер)</t>
        </is>
      </c>
      <c r="B16" s="18">
        <f>IFERROR(INDEX(Объекты!$E$4:$E$37,MATCH($A16,Объекты!$B$4:$B$37,0)),"")</f>
        <v/>
      </c>
      <c r="C16" s="18">
        <f>IFERROR(INDEX(Объекты!$F$4:$F$37,MATCH($A16,Объекты!$B$4:$B$37,0)),"")</f>
        <v/>
      </c>
      <c r="D16" s="40">
        <f>D5+D6</f>
        <v/>
      </c>
      <c r="E16" s="40">
        <f>E5+E6</f>
        <v/>
      </c>
      <c r="F16" s="40">
        <f>F5+F6</f>
        <v/>
      </c>
      <c r="G16" s="40">
        <f>G5+G6</f>
        <v/>
      </c>
      <c r="H16" s="40">
        <f>H5+H6</f>
        <v/>
      </c>
      <c r="I16" s="40">
        <f>I5+I6</f>
        <v/>
      </c>
      <c r="J16" s="47">
        <f>SUM(D16:I16)</f>
        <v/>
      </c>
      <c r="K16" s="40">
        <f>IFERROR(J16/C16*1000,"")</f>
        <v/>
      </c>
      <c r="L16" s="48" t="inlineStr">
        <is>
          <t>строка для выпадающего списка Т1: сумма двух Flora</t>
        </is>
      </c>
    </row>
    <row r="17">
      <c r="A17" s="22" t="inlineStr">
        <is>
          <t>Пилотный кластер: Хедлайнер + Flora + Аура</t>
        </is>
      </c>
      <c r="B17" s="18">
        <f>IFERROR(INDEX(Объекты!$E$4:$E$37,MATCH($A17,Объекты!$B$4:$B$37,0)),"")</f>
        <v/>
      </c>
      <c r="C17" s="18">
        <f>IFERROR(INDEX(Объекты!$F$4:$F$37,MATCH($A17,Объекты!$B$4:$B$37,0)),"")</f>
        <v/>
      </c>
      <c r="D17" s="40">
        <f>D7+D5+D6+D8</f>
        <v/>
      </c>
      <c r="E17" s="40">
        <f>E7+E5+E6+E8</f>
        <v/>
      </c>
      <c r="F17" s="40">
        <f>F7+F5+F6+F8</f>
        <v/>
      </c>
      <c r="G17" s="40">
        <f>G7+G5+G6+G8</f>
        <v/>
      </c>
      <c r="H17" s="40">
        <f>H7+H5+H6+H8</f>
        <v/>
      </c>
      <c r="I17" s="40">
        <f>I7+I5+I6+I8</f>
        <v/>
      </c>
      <c r="J17" s="47">
        <f>SUM(D17:I17)</f>
        <v/>
      </c>
      <c r="K17" s="40">
        <f>IFERROR(J17/C17*1000,"")</f>
        <v/>
      </c>
      <c r="L17" s="48" t="inlineStr">
        <is>
          <t>пилот: сумма четырёх аллей; активы Хедлайнера войдут после справки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10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9.5" customWidth="1" min="13" max="13"/>
    <col width="9.5" customWidth="1" min="14" max="14"/>
  </cols>
  <sheetData>
    <row r="1">
      <c r="A1" s="13" t="inlineStr">
        <is>
          <t>Годовой бюджет содержания пилотного периметра</t>
        </is>
      </c>
    </row>
    <row r="2">
      <c r="A2" s="14" t="inlineStr">
        <is>
          <t>Пилотный периметр: Гранд Туран и Nexpo Юнион. Уборка и свет от общей площади, озеленение от зелёной, ремфонд от активов на балансе, координация по долям ставок. Все ставки — лист «Нормативы». Программа активации — справочно, отдельной строкой.</t>
        </is>
      </c>
    </row>
    <row r="4">
      <c r="A4" s="49" t="inlineStr">
        <is>
          <t>Объект</t>
        </is>
      </c>
      <c r="B4" s="49" t="inlineStr">
        <is>
          <t>Тип</t>
        </is>
      </c>
      <c r="C4" s="50" t="inlineStr">
        <is>
          <t>Озеленение, м²</t>
        </is>
      </c>
      <c r="D4" s="50" t="inlineStr">
        <is>
          <t>Общая, м²</t>
        </is>
      </c>
      <c r="E4" s="50" t="inlineStr">
        <is>
          <t>Уборка мин</t>
        </is>
      </c>
      <c r="F4" s="50" t="inlineStr">
        <is>
          <t>Уборка макс</t>
        </is>
      </c>
      <c r="G4" s="50" t="inlineStr">
        <is>
          <t>Озелен. мин</t>
        </is>
      </c>
      <c r="H4" s="50" t="inlineStr">
        <is>
          <t>Озелен. макс</t>
        </is>
      </c>
      <c r="I4" s="50" t="inlineStr">
        <is>
          <t>Свет мин</t>
        </is>
      </c>
      <c r="J4" s="50" t="inlineStr">
        <is>
          <t>Свет макс</t>
        </is>
      </c>
      <c r="K4" s="50" t="inlineStr">
        <is>
          <t>Ремфонд мин</t>
        </is>
      </c>
      <c r="L4" s="50" t="inlineStr">
        <is>
          <t>Ремфонд макс</t>
        </is>
      </c>
      <c r="M4" s="50" t="inlineStr">
        <is>
          <t>Итого мин</t>
        </is>
      </c>
      <c r="N4" s="50" t="inlineStr">
        <is>
          <t>Итого макс</t>
        </is>
      </c>
    </row>
    <row r="5">
      <c r="A5" s="22" t="inlineStr">
        <is>
          <t>Аллея Гранд Туран Комфорт</t>
        </is>
      </c>
      <c r="B5" s="24" t="inlineStr">
        <is>
          <t>Т2</t>
        </is>
      </c>
      <c r="C5" s="18">
        <f>IFERROR(INDEX(Объекты!$E$4:$E$37,MATCH($A5,Объекты!$B$4:$B$37,0)),"")</f>
        <v/>
      </c>
      <c r="D5" s="18">
        <f>IFERROR(INDEX(Объекты!$F$4:$F$37,MATCH($A5,Объекты!$B$4:$B$37,0)),"")</f>
        <v/>
      </c>
      <c r="E5" s="51">
        <f>$D5*Нормативы!E5*12/1000000</f>
        <v/>
      </c>
      <c r="F5" s="51">
        <f>$D5*Нормативы!F5*12/1000000</f>
        <v/>
      </c>
      <c r="G5" s="51">
        <f>$C5*Нормативы!E6*7/1000000</f>
        <v/>
      </c>
      <c r="H5" s="51">
        <f>$C5*Нормативы!F6*7/1000000</f>
        <v/>
      </c>
      <c r="I5" s="51">
        <f>$D5*Нормативы!E7/1000000</f>
        <v/>
      </c>
      <c r="J5" s="51">
        <f>$D5*Нормативы!F7/1000000</f>
        <v/>
      </c>
      <c r="K5" s="51">
        <f>Нормативы!$C$17*IFERROR(INDEX(Активы!$J$4:$J$17,MATCH($A5,Активы!$A$4:$A$17,0)),0)</f>
        <v/>
      </c>
      <c r="L5" s="51">
        <f>Нормативы!$D$17*IFERROR(INDEX(Активы!$J$4:$J$17,MATCH($A5,Активы!$A$4:$A$17,0)),0)</f>
        <v/>
      </c>
      <c r="M5" s="39">
        <f>E5+G5+I5+K5</f>
        <v/>
      </c>
      <c r="N5" s="39">
        <f>F5+H5+J5+L5</f>
        <v/>
      </c>
    </row>
    <row r="6">
      <c r="A6" s="22" t="inlineStr">
        <is>
          <t>Аллея Nexpo Юнион</t>
        </is>
      </c>
      <c r="B6" s="24" t="inlineStr">
        <is>
          <t>Т2</t>
        </is>
      </c>
      <c r="C6" s="18">
        <f>IFERROR(INDEX(Объекты!$E$4:$E$37,MATCH($A6,Объекты!$B$4:$B$37,0)),"")</f>
        <v/>
      </c>
      <c r="D6" s="18">
        <f>IFERROR(INDEX(Объекты!$F$4:$F$37,MATCH($A6,Объекты!$B$4:$B$37,0)),"")</f>
        <v/>
      </c>
      <c r="E6" s="51">
        <f>$D6*Нормативы!E5*12/1000000</f>
        <v/>
      </c>
      <c r="F6" s="51">
        <f>$D6*Нормативы!F5*12/1000000</f>
        <v/>
      </c>
      <c r="G6" s="51">
        <f>$C6*Нормативы!E6*7/1000000</f>
        <v/>
      </c>
      <c r="H6" s="51">
        <f>$C6*Нормативы!F6*7/1000000</f>
        <v/>
      </c>
      <c r="I6" s="51">
        <f>$D6*Нормативы!E7/1000000</f>
        <v/>
      </c>
      <c r="J6" s="51">
        <f>$D6*Нормативы!F7/1000000</f>
        <v/>
      </c>
      <c r="K6" s="51">
        <f>Нормативы!$C$17*IFERROR(INDEX(Активы!$J$4:$J$17,MATCH($A6,Активы!$A$4:$A$17,0)),0)</f>
        <v/>
      </c>
      <c r="L6" s="51">
        <f>Нормативы!$D$17*IFERROR(INDEX(Активы!$J$4:$J$17,MATCH($A6,Активы!$A$4:$A$17,0)),0)</f>
        <v/>
      </c>
      <c r="M6" s="39">
        <f>E6+G6+I6+K6</f>
        <v/>
      </c>
      <c r="N6" s="39">
        <f>F6+H6+J6+L6</f>
        <v/>
      </c>
    </row>
    <row r="7">
      <c r="A7" s="52" t="inlineStr">
        <is>
          <t>Координатор Гранд Турана (доля Т2)</t>
        </is>
      </c>
      <c r="B7" s="53" t="inlineStr">
        <is>
          <t>0,33 ставки на объект</t>
        </is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8">
        <f>Нормативы!E8*Нормативы!$C$15*12/1000</f>
        <v/>
      </c>
      <c r="N7" s="38">
        <f>Нормативы!F8*Нормативы!$D$15*12/1000</f>
        <v/>
      </c>
    </row>
    <row r="8">
      <c r="A8" s="52" t="inlineStr">
        <is>
          <t>Координатор Nexpo Юниона (доля Т2)</t>
        </is>
      </c>
      <c r="B8" s="53" t="inlineStr">
        <is>
          <t>0,33 ставки; при общем координаторе на два контура ставка складывается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8">
        <f>Нормативы!E8*Нормативы!$C$15*12/1000</f>
        <v/>
      </c>
      <c r="N8" s="38">
        <f>Нормативы!F8*Нормативы!$D$15*12/1000</f>
        <v/>
      </c>
    </row>
    <row r="10">
      <c r="A10" s="54" t="inlineStr">
        <is>
          <t>Гранд Туран, итого</t>
        </is>
      </c>
      <c r="B10" s="46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55">
        <f>M5+M7</f>
        <v/>
      </c>
      <c r="N10" s="55">
        <f>N5+N7</f>
        <v/>
      </c>
    </row>
    <row r="11">
      <c r="A11" s="54" t="inlineStr">
        <is>
          <t>Nexpo Юнион, итого</t>
        </is>
      </c>
      <c r="B11" s="46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55">
        <f>M6+M8</f>
        <v/>
      </c>
      <c r="N11" s="55">
        <f>N6+N8</f>
        <v/>
      </c>
    </row>
    <row r="12">
      <c r="A12" s="56" t="inlineStr">
        <is>
          <t>ПИЛОТ: СОДЕРЖАНИЕ, ИТОГО</t>
        </is>
      </c>
      <c r="B12" s="46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57">
        <f>M10+M11</f>
        <v/>
      </c>
      <c r="N12" s="57">
        <f>N10+N11</f>
        <v/>
      </c>
    </row>
    <row r="14">
      <c r="A14" s="52" t="inlineStr">
        <is>
          <t>Программа активации (справочно, два контура)</t>
        </is>
      </c>
      <c r="B14" s="53" t="inlineStr">
        <is>
          <t>события по нормативу Т2 на каждый контур; это активация, в содержание не входит</t>
        </is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8">
        <f>2*Нормативы!E9*Нормативы!$C$16/1000</f>
        <v/>
      </c>
      <c r="N14" s="38">
        <f>2*Нормативы!F9*Нормативы!$D$16/1000</f>
        <v/>
      </c>
    </row>
    <row r="16">
      <c r="A16" s="12" t="inlineStr">
        <is>
          <t>Nexpo Юнион не передан и сейчас не обслуживается: его содержание — новые деньги, а не перераспределение. Общая площадь оценочная, замер уточнит уборку и свет. Вилки планировочные, для защиты подхода. Точные ставки дадут факт BI Green и нулевой спринт (сентябрь–октябрь 2026); полная модель с помесячной сезонностью собирается на них в ноябре 2026.</t>
        </is>
      </c>
    </row>
    <row r="17"/>
  </sheetData>
  <mergeCells count="6">
    <mergeCell ref="A1:N1"/>
    <mergeCell ref="B7:L7"/>
    <mergeCell ref="A2:N2"/>
    <mergeCell ref="A16:N17"/>
    <mergeCell ref="B14:L14"/>
    <mergeCell ref="B8:L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5" customWidth="1" min="4" max="4"/>
  </cols>
  <sheetData>
    <row r="1">
      <c r="A1" s="58" t="inlineStr">
        <is>
          <t>Финмодель Т1 · Транзитная аллея</t>
        </is>
      </c>
    </row>
    <row r="3">
      <c r="A3" s="59" t="inlineStr">
        <is>
          <t>Объект (выберите из списка):</t>
        </is>
      </c>
      <c r="B3" s="60" t="inlineStr">
        <is>
          <t>Аллеи ЖК Flora 1 + 2 (кластер)</t>
        </is>
      </c>
      <c r="C3" s="61" t="inlineStr">
        <is>
          <t>Озеленение, м²:</t>
        </is>
      </c>
      <c r="D3" s="62">
        <f>IFERROR(INDEX(Объекты!$E$4:$E$37,MATCH($B$3,Объекты!$B$4:$B$37,0)),0)</f>
        <v/>
      </c>
    </row>
    <row r="4">
      <c r="A4" s="59" t="inlineStr">
        <is>
          <t>Активы на балансе, млн тг:</t>
        </is>
      </c>
      <c r="B4" s="63">
        <f>IFERROR(INDEX(Активы!$J$4:$J$17,MATCH($B$3,Активы!$A$4:$A$17,0)),0)</f>
        <v/>
      </c>
      <c r="C4" s="61" t="inlineStr">
        <is>
          <t>Общая площадь, м²:</t>
        </is>
      </c>
      <c r="D4" s="62">
        <f>IFERROR(INDEX(Объекты!$F$4:$F$37,MATCH($B$3,Объекты!$B$4:$B$37,0)),0)</f>
        <v/>
      </c>
    </row>
    <row r="6">
      <c r="A6" s="4" t="inlineStr">
        <is>
          <t>Статья</t>
        </is>
      </c>
      <c r="B6" s="4" t="inlineStr">
        <is>
          <t>Как считаем / привязка</t>
        </is>
      </c>
      <c r="C6" s="5" t="inlineStr">
        <is>
          <t>Мин, млн тг/год</t>
        </is>
      </c>
      <c r="D6" s="5" t="inlineStr">
        <is>
          <t>Макс, млн тг/год</t>
        </is>
      </c>
    </row>
    <row r="7">
      <c r="A7" s="64" t="inlineStr">
        <is>
          <t>ДОХОДЫ (вилки: зависят от программы, не от площади)</t>
        </is>
      </c>
      <c r="B7" s="33" t="n"/>
      <c r="C7" s="33" t="n"/>
      <c r="D7" s="33" t="n"/>
    </row>
    <row r="8">
      <c r="A8" s="6" t="inlineStr">
        <is>
          <t>Вендинг, 1 автомат</t>
        </is>
      </c>
      <c r="B8" s="28" t="inlineStr">
        <is>
          <t>аренда точки 25–45 тыс тг/мес</t>
        </is>
      </c>
      <c r="C8" s="35" t="n">
        <v>0.3</v>
      </c>
      <c r="D8" s="35" t="n">
        <v>0.5</v>
      </c>
    </row>
    <row r="9">
      <c r="A9" s="6" t="inlineStr">
        <is>
          <t>Спонсорство «Усынови клумбу»</t>
        </is>
      </c>
      <c r="B9" s="28" t="inlineStr">
        <is>
          <t>3–5 спонсоров по 80–150 тыс тг/год</t>
        </is>
      </c>
      <c r="C9" s="35" t="n">
        <v>0.2</v>
      </c>
      <c r="D9" s="35" t="n">
        <v>0.6</v>
      </c>
    </row>
    <row r="10">
      <c r="A10" s="6" t="inlineStr">
        <is>
          <t>Реклама на навигации</t>
        </is>
      </c>
      <c r="B10" s="28" t="inlineStr">
        <is>
          <t>при подходящем юрстатусе земли</t>
        </is>
      </c>
      <c r="C10" s="35" t="n">
        <v>0</v>
      </c>
      <c r="D10" s="35" t="n">
        <v>0.4</v>
      </c>
    </row>
    <row r="11">
      <c r="A11" s="65" t="inlineStr">
        <is>
          <t>Доходы, итого</t>
        </is>
      </c>
      <c r="B11" s="46" t="n"/>
      <c r="C11" s="66">
        <f>SUM(C8:C10)</f>
        <v/>
      </c>
      <c r="D11" s="66">
        <f>SUM(D8:D10)</f>
        <v/>
      </c>
    </row>
    <row r="12">
      <c r="A12" s="64" t="inlineStr">
        <is>
          <t>РАСХОДЫ (OPEX): формулы «площадь × нормативы»</t>
        </is>
      </c>
      <c r="B12" s="33" t="n"/>
      <c r="C12" s="33" t="n"/>
      <c r="D12" s="33" t="n"/>
    </row>
    <row r="13">
      <c r="A13" s="6" t="inlineStr">
        <is>
          <t>Уборка и снегоуборка</t>
        </is>
      </c>
      <c r="B13" s="28" t="inlineStr">
        <is>
          <t>общая площадь × норматив × 12 мес</t>
        </is>
      </c>
      <c r="C13" s="67">
        <f>$D$4*Нормативы!C5*12/1000000</f>
        <v/>
      </c>
      <c r="D13" s="67">
        <f>$D$4*Нормативы!D5*12/1000000</f>
        <v/>
      </c>
    </row>
    <row r="14">
      <c r="A14" s="6" t="inlineStr">
        <is>
          <t>Озеленение и полив</t>
        </is>
      </c>
      <c r="B14" s="28" t="inlineStr">
        <is>
          <t>озеленение × норматив × 7 мес (апр–окт)</t>
        </is>
      </c>
      <c r="C14" s="67">
        <f>$D$3*Нормативы!C6*7/1000000</f>
        <v/>
      </c>
      <c r="D14" s="67">
        <f>$D$3*Нормативы!D6*7/1000000</f>
        <v/>
      </c>
    </row>
    <row r="15">
      <c r="A15" s="6" t="inlineStr">
        <is>
          <t>Свет, электро, digital</t>
        </is>
      </c>
      <c r="B15" s="28" t="inlineStr">
        <is>
          <t>общая площадь × годовой норматив</t>
        </is>
      </c>
      <c r="C15" s="67">
        <f>$D$4*Нормативы!C7/1000000</f>
        <v/>
      </c>
      <c r="D15" s="67">
        <f>$D$4*Нормативы!D7/1000000</f>
        <v/>
      </c>
    </row>
    <row r="16">
      <c r="A16" s="6" t="inlineStr">
        <is>
          <t>Координатор кластера</t>
        </is>
      </c>
      <c r="B16" s="28" t="inlineStr">
        <is>
          <t>ставка × доля × 12 мес</t>
        </is>
      </c>
      <c r="C16" s="67">
        <f>Нормативы!$C$15*Нормативы!C8*12/1000</f>
        <v/>
      </c>
      <c r="D16" s="67">
        <f>Нормативы!$D$15*Нормативы!D8*12/1000</f>
        <v/>
      </c>
    </row>
    <row r="17">
      <c r="A17" s="6" t="inlineStr">
        <is>
          <t>Ремфонд</t>
        </is>
      </c>
      <c r="B17" s="28" t="inlineStr">
        <is>
          <t>% в год от активов на балансе + CAPEX активации</t>
        </is>
      </c>
      <c r="C17" s="67">
        <f>Нормативы!$C$17*($B$4+Нормативы!C12)</f>
        <v/>
      </c>
      <c r="D17" s="67">
        <f>Нормативы!$D$17*($B$4+Нормативы!D12)</f>
        <v/>
      </c>
    </row>
    <row r="18">
      <c r="A18" s="68" t="inlineStr">
        <is>
          <t>OPEX, итого</t>
        </is>
      </c>
      <c r="B18" s="46" t="n"/>
      <c r="C18" s="69">
        <f>SUM(C13:C17)</f>
        <v/>
      </c>
      <c r="D18" s="69">
        <f>SUM(D13:D17)</f>
        <v/>
      </c>
    </row>
    <row r="20">
      <c r="A20" s="64" t="inlineStr">
        <is>
          <t>ПОКРЫТИЕ OPEX ДОХОДАМИ</t>
        </is>
      </c>
      <c r="B20" s="33" t="n"/>
      <c r="C20" s="33" t="n"/>
      <c r="D20" s="33" t="n"/>
    </row>
    <row r="21">
      <c r="A21" s="6" t="inlineStr">
        <is>
          <t>Консервативный сценарий</t>
        </is>
      </c>
      <c r="B21" s="28" t="inlineStr">
        <is>
          <t>низ доходов / верх расходов</t>
        </is>
      </c>
      <c r="C21" s="70">
        <f>IFERROR(C11/D18,0)</f>
        <v/>
      </c>
      <c r="D21" s="33" t="n"/>
    </row>
    <row r="22">
      <c r="A22" s="6" t="inlineStr">
        <is>
          <t>По середине вилок</t>
        </is>
      </c>
      <c r="B22" s="28" t="inlineStr">
        <is>
          <t>средние значения обеих вилок</t>
        </is>
      </c>
      <c r="C22" s="70">
        <f>IFERROR(AVERAGE(C11:D11)/AVERAGE(C18:D18),0)</f>
        <v/>
      </c>
      <c r="D22" s="33" t="n"/>
    </row>
    <row r="23">
      <c r="A23" s="6" t="inlineStr">
        <is>
          <t>Оптимистичный сценарий</t>
        </is>
      </c>
      <c r="B23" s="28" t="inlineStr">
        <is>
          <t>верх доходов / низ расходов</t>
        </is>
      </c>
      <c r="C23" s="70">
        <f>IFERROR(D11/C18,0)</f>
        <v/>
      </c>
      <c r="D23" s="33" t="n"/>
    </row>
    <row r="24">
      <c r="A24" s="71" t="inlineStr">
        <is>
          <t>Целевой коридор пилота</t>
        </is>
      </c>
      <c r="B24" s="33" t="n"/>
      <c r="C24" s="72" t="inlineStr">
        <is>
          <t>10–30%</t>
        </is>
      </c>
      <c r="D24" s="33" t="n"/>
    </row>
    <row r="26">
      <c r="A26" s="64" t="inlineStr">
        <is>
          <t>ЧТО ДОЛЖНО СОЙТИСЬ</t>
        </is>
      </c>
      <c r="B26" s="33" t="n"/>
      <c r="C26" s="33" t="n"/>
      <c r="D26" s="33" t="n"/>
    </row>
    <row r="27">
      <c r="A27" s="73" t="inlineStr">
        <is>
          <t>• Кластер: общий координатор и бригада, не своя</t>
        </is>
      </c>
    </row>
    <row r="28">
      <c r="A28" s="73" t="inlineStr">
        <is>
          <t>• Спонсоры продлеваются на второй год</t>
        </is>
      </c>
    </row>
    <row r="29">
      <c r="A29" s="73" t="inlineStr">
        <is>
          <t>• Юрстатус пропускает рекламу на стелах</t>
        </is>
      </c>
    </row>
    <row r="31">
      <c r="A31" s="12" t="inlineStr">
        <is>
          <t>Вилки планировочные, для защиты подхода. Точные ставки дадут факт BI Green и нулевой спринт (сентябрь–октябрь 2026); полная модель с помесячной сезонностью собирается на них в ноябре 2026.</t>
        </is>
      </c>
    </row>
    <row r="32"/>
  </sheetData>
  <mergeCells count="9">
    <mergeCell ref="A1:D1"/>
    <mergeCell ref="A27:D27"/>
    <mergeCell ref="A12:D12"/>
    <mergeCell ref="A26:D26"/>
    <mergeCell ref="A20:D20"/>
    <mergeCell ref="A29:D29"/>
    <mergeCell ref="A7:D7"/>
    <mergeCell ref="A31:D32"/>
    <mergeCell ref="A28:D28"/>
  </mergeCells>
  <dataValidations count="1">
    <dataValidation sqref="B3" showDropDown="0" showInputMessage="0" showErrorMessage="0" allowBlank="0" type="list">
      <formula1>=Объекты!$B$4:$B$37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5" customWidth="1" min="4" max="4"/>
  </cols>
  <sheetData>
    <row r="1">
      <c r="A1" s="58" t="inlineStr">
        <is>
          <t>Финмодель Т2 · Активная аллея</t>
        </is>
      </c>
    </row>
    <row r="3">
      <c r="A3" s="59" t="inlineStr">
        <is>
          <t>Объект (выберите из списка):</t>
        </is>
      </c>
      <c r="B3" s="60" t="inlineStr">
        <is>
          <t>Аллея Гранд Туран Комфорт</t>
        </is>
      </c>
      <c r="C3" s="61" t="inlineStr">
        <is>
          <t>Озеленение, м²:</t>
        </is>
      </c>
      <c r="D3" s="62">
        <f>IFERROR(INDEX(Объекты!$E$4:$E$37,MATCH($B$3,Объекты!$B$4:$B$37,0)),0)</f>
        <v/>
      </c>
    </row>
    <row r="4">
      <c r="A4" s="59" t="inlineStr">
        <is>
          <t>Активы на балансе, млн тг:</t>
        </is>
      </c>
      <c r="B4" s="63">
        <f>IFERROR(INDEX(Активы!$J$4:$J$17,MATCH($B$3,Активы!$A$4:$A$17,0)),0)</f>
        <v/>
      </c>
      <c r="C4" s="61" t="inlineStr">
        <is>
          <t>Общая площадь, м²:</t>
        </is>
      </c>
      <c r="D4" s="62">
        <f>IFERROR(INDEX(Объекты!$F$4:$F$37,MATCH($B$3,Объекты!$B$4:$B$37,0)),0)</f>
        <v/>
      </c>
    </row>
    <row r="6">
      <c r="A6" s="4" t="inlineStr">
        <is>
          <t>Статья</t>
        </is>
      </c>
      <c r="B6" s="4" t="inlineStr">
        <is>
          <t>Как считаем / привязка</t>
        </is>
      </c>
      <c r="C6" s="5" t="inlineStr">
        <is>
          <t>Мин, млн тг/год</t>
        </is>
      </c>
      <c r="D6" s="5" t="inlineStr">
        <is>
          <t>Макс, млн тг/год</t>
        </is>
      </c>
    </row>
    <row r="7">
      <c r="A7" s="64" t="inlineStr">
        <is>
          <t>ДОХОДЫ (вилки: зависят от программы, не от площади)</t>
        </is>
      </c>
      <c r="B7" s="33" t="n"/>
      <c r="C7" s="33" t="n"/>
      <c r="D7" s="33" t="n"/>
    </row>
    <row r="8">
      <c r="A8" s="6" t="inlineStr">
        <is>
          <t>НТО-якорь: кофе-павильон</t>
        </is>
      </c>
      <c r="B8" s="28" t="inlineStr">
        <is>
          <t>аренда 120–250 тыс тг/мес + 2–5% оборота</t>
        </is>
      </c>
      <c r="C8" s="35" t="n">
        <v>1.8</v>
      </c>
      <c r="D8" s="35" t="n">
        <v>3.6</v>
      </c>
    </row>
    <row r="9">
      <c r="A9" s="6" t="inlineStr">
        <is>
          <t>Ярмарка выходного дня</t>
        </is>
      </c>
      <c r="B9" s="28" t="inlineStr">
        <is>
          <t>12–16 ярмарок, 15–25 мест по 3–5 тыс тг</t>
        </is>
      </c>
      <c r="C9" s="35" t="n">
        <v>0.7</v>
      </c>
      <c r="D9" s="35" t="n">
        <v>1.8</v>
      </c>
    </row>
    <row r="10">
      <c r="A10" s="6" t="inlineStr">
        <is>
          <t>Секции и кикшеринг</t>
        </is>
      </c>
      <c r="B10" s="28" t="inlineStr">
        <is>
          <t>слоты тренерам + rev-share операторов</t>
        </is>
      </c>
      <c r="C10" s="35" t="n">
        <v>0.6</v>
      </c>
      <c r="D10" s="35" t="n">
        <v>1.6</v>
      </c>
    </row>
    <row r="11">
      <c r="A11" s="6" t="inlineStr">
        <is>
          <t>Digital-экран и реклама</t>
        </is>
      </c>
      <c r="B11" s="28" t="inlineStr">
        <is>
          <t>при подходящем юрстатусе земли</t>
        </is>
      </c>
      <c r="C11" s="35" t="n">
        <v>0.8</v>
      </c>
      <c r="D11" s="35" t="n">
        <v>2</v>
      </c>
    </row>
    <row r="12">
      <c r="A12" s="6" t="inlineStr">
        <is>
          <t>Спонсорство объектов</t>
        </is>
      </c>
      <c r="B12" s="28" t="inlineStr">
        <is>
          <t>воркаут, клумбы, скамейки</t>
        </is>
      </c>
      <c r="C12" s="35" t="n">
        <v>0.5</v>
      </c>
      <c r="D12" s="35" t="n">
        <v>1.2</v>
      </c>
    </row>
    <row r="13">
      <c r="A13" s="65" t="inlineStr">
        <is>
          <t>Доходы, итого</t>
        </is>
      </c>
      <c r="B13" s="46" t="n"/>
      <c r="C13" s="66">
        <f>SUM(C8:C12)</f>
        <v/>
      </c>
      <c r="D13" s="66">
        <f>SUM(D8:D12)</f>
        <v/>
      </c>
    </row>
    <row r="14">
      <c r="A14" s="64" t="inlineStr">
        <is>
          <t>РАСХОДЫ (OPEX): формулы «площадь × нормативы»</t>
        </is>
      </c>
      <c r="B14" s="33" t="n"/>
      <c r="C14" s="33" t="n"/>
      <c r="D14" s="33" t="n"/>
    </row>
    <row r="15">
      <c r="A15" s="6" t="inlineStr">
        <is>
          <t>Уборка и снегоуборка</t>
        </is>
      </c>
      <c r="B15" s="28" t="inlineStr">
        <is>
          <t>общая площадь × норматив × 12 мес</t>
        </is>
      </c>
      <c r="C15" s="67">
        <f>$D$4*Нормативы!E5*12/1000000</f>
        <v/>
      </c>
      <c r="D15" s="67">
        <f>$D$4*Нормативы!F5*12/1000000</f>
        <v/>
      </c>
    </row>
    <row r="16">
      <c r="A16" s="6" t="inlineStr">
        <is>
          <t>Озеленение и полив</t>
        </is>
      </c>
      <c r="B16" s="28" t="inlineStr">
        <is>
          <t>озеленение × норматив × 7 мес (апр–окт)</t>
        </is>
      </c>
      <c r="C16" s="67">
        <f>$D$3*Нормативы!E6*7/1000000</f>
        <v/>
      </c>
      <c r="D16" s="67">
        <f>$D$3*Нормативы!F6*7/1000000</f>
        <v/>
      </c>
    </row>
    <row r="17">
      <c r="A17" s="6" t="inlineStr">
        <is>
          <t>Свет, электро, digital</t>
        </is>
      </c>
      <c r="B17" s="28" t="inlineStr">
        <is>
          <t>общая площадь × годовой норматив</t>
        </is>
      </c>
      <c r="C17" s="67">
        <f>$D$4*Нормативы!E7/1000000</f>
        <v/>
      </c>
      <c r="D17" s="67">
        <f>$D$4*Нормативы!F7/1000000</f>
        <v/>
      </c>
    </row>
    <row r="18">
      <c r="A18" s="6" t="inlineStr">
        <is>
          <t>Программа и маркетинг</t>
        </is>
      </c>
      <c r="B18" s="28" t="inlineStr">
        <is>
          <t>число событий × цена события</t>
        </is>
      </c>
      <c r="C18" s="67">
        <f>Нормативы!E9*Нормативы!$C$16/1000</f>
        <v/>
      </c>
      <c r="D18" s="67">
        <f>Нормативы!F9*Нормативы!$D$16/1000</f>
        <v/>
      </c>
    </row>
    <row r="19">
      <c r="A19" s="6" t="inlineStr">
        <is>
          <t>Координатор кластера</t>
        </is>
      </c>
      <c r="B19" s="28" t="inlineStr">
        <is>
          <t>ставка × доля × 12 мес</t>
        </is>
      </c>
      <c r="C19" s="67">
        <f>Нормативы!$C$15*Нормативы!E8*12/1000</f>
        <v/>
      </c>
      <c r="D19" s="67">
        <f>Нормативы!$D$15*Нормативы!F8*12/1000</f>
        <v/>
      </c>
    </row>
    <row r="20">
      <c r="A20" s="6" t="inlineStr">
        <is>
          <t>Ремфонд</t>
        </is>
      </c>
      <c r="B20" s="28" t="inlineStr">
        <is>
          <t>% в год от активов на балансе + CAPEX активации</t>
        </is>
      </c>
      <c r="C20" s="67">
        <f>Нормативы!$C$17*($B$4+Нормативы!E12)</f>
        <v/>
      </c>
      <c r="D20" s="67">
        <f>Нормативы!$D$17*($B$4+Нормативы!F12)</f>
        <v/>
      </c>
    </row>
    <row r="21">
      <c r="A21" s="68" t="inlineStr">
        <is>
          <t>OPEX, итого</t>
        </is>
      </c>
      <c r="B21" s="46" t="n"/>
      <c r="C21" s="69">
        <f>SUM(C15:C20)</f>
        <v/>
      </c>
      <c r="D21" s="69">
        <f>SUM(D15:D20)</f>
        <v/>
      </c>
    </row>
    <row r="23">
      <c r="A23" s="64" t="inlineStr">
        <is>
          <t>ПОКРЫТИЕ OPEX ДОХОДАМИ</t>
        </is>
      </c>
      <c r="B23" s="33" t="n"/>
      <c r="C23" s="33" t="n"/>
      <c r="D23" s="33" t="n"/>
    </row>
    <row r="24">
      <c r="A24" s="6" t="inlineStr">
        <is>
          <t>Консервативный сценарий</t>
        </is>
      </c>
      <c r="B24" s="28" t="inlineStr">
        <is>
          <t>низ доходов / верх расходов</t>
        </is>
      </c>
      <c r="C24" s="70">
        <f>IFERROR(C13/D21,0)</f>
        <v/>
      </c>
      <c r="D24" s="33" t="n"/>
    </row>
    <row r="25">
      <c r="A25" s="6" t="inlineStr">
        <is>
          <t>По середине вилок</t>
        </is>
      </c>
      <c r="B25" s="28" t="inlineStr">
        <is>
          <t>средние значения обеих вилок</t>
        </is>
      </c>
      <c r="C25" s="70">
        <f>IFERROR(AVERAGE(C13:D13)/AVERAGE(C21:D21),0)</f>
        <v/>
      </c>
      <c r="D25" s="33" t="n"/>
    </row>
    <row r="26">
      <c r="A26" s="6" t="inlineStr">
        <is>
          <t>Оптимистичный сценарий</t>
        </is>
      </c>
      <c r="B26" s="28" t="inlineStr">
        <is>
          <t>верх доходов / низ расходов</t>
        </is>
      </c>
      <c r="C26" s="70">
        <f>IFERROR(D13/C21,0)</f>
        <v/>
      </c>
      <c r="D26" s="33" t="n"/>
    </row>
    <row r="27">
      <c r="A27" s="71" t="inlineStr">
        <is>
          <t>Целевой коридор пилота</t>
        </is>
      </c>
      <c r="B27" s="33" t="n"/>
      <c r="C27" s="72" t="inlineStr">
        <is>
          <t>40–70%</t>
        </is>
      </c>
      <c r="D27" s="33" t="n"/>
    </row>
    <row r="29">
      <c r="A29" s="64" t="inlineStr">
        <is>
          <t>ЧТО ДОЛЖНО СОЙТИСЬ</t>
        </is>
      </c>
      <c r="B29" s="33" t="n"/>
      <c r="C29" s="33" t="n"/>
      <c r="D29" s="33" t="n"/>
    </row>
    <row r="30">
      <c r="A30" s="73" t="inlineStr">
        <is>
          <t>• Справка по активам Хедлайнера получена, суммы внесены в лист «Активы»</t>
        </is>
      </c>
    </row>
    <row r="31">
      <c r="A31" s="73" t="inlineStr">
        <is>
          <t>• Якорь-павильон заполнен с мая по сентябрь</t>
        </is>
      </c>
    </row>
    <row r="32">
      <c r="A32" s="73" t="inlineStr">
        <is>
          <t>• Ярмарка стала привычкой района: 12+ за сезон</t>
        </is>
      </c>
    </row>
    <row r="33">
      <c r="A33" s="73" t="inlineStr">
        <is>
          <t>• Вечерние слоты секций выкуплены</t>
        </is>
      </c>
    </row>
    <row r="35">
      <c r="A35" s="12" t="inlineStr">
        <is>
          <t>Вилки планировочные, для защиты подхода. Точные ставки дадут факт BI Green и нулевой спринт (сентябрь–октябрь 2026); полная модель с помесячной сезонностью собирается на них в ноябре 2026.</t>
        </is>
      </c>
    </row>
    <row r="36"/>
  </sheetData>
  <mergeCells count="10">
    <mergeCell ref="A1:D1"/>
    <mergeCell ref="A23:D23"/>
    <mergeCell ref="A31:D31"/>
    <mergeCell ref="A30:D30"/>
    <mergeCell ref="A29:D29"/>
    <mergeCell ref="A7:D7"/>
    <mergeCell ref="A35:D36"/>
    <mergeCell ref="A33:D33"/>
    <mergeCell ref="A32:D32"/>
    <mergeCell ref="A14:D14"/>
  </mergeCells>
  <dataValidations count="1">
    <dataValidation sqref="B3" showDropDown="0" showInputMessage="0" showErrorMessage="0" allowBlank="0" type="list">
      <formula1>=Объекты!$B$4:$B$37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5" customWidth="1" min="4" max="4"/>
  </cols>
  <sheetData>
    <row r="1">
      <c r="A1" s="58" t="inlineStr">
        <is>
          <t>Финмодель Т3 · Сквер / плейхаб</t>
        </is>
      </c>
    </row>
    <row r="3">
      <c r="A3" s="59" t="inlineStr">
        <is>
          <t>Объект (выберите из списка):</t>
        </is>
      </c>
      <c r="B3" s="60" t="inlineStr">
        <is>
          <t>Сквер Авеню 5</t>
        </is>
      </c>
      <c r="C3" s="61" t="inlineStr">
        <is>
          <t>Озеленение, м²:</t>
        </is>
      </c>
      <c r="D3" s="62">
        <f>IFERROR(INDEX(Объекты!$E$4:$E$37,MATCH($B$3,Объекты!$B$4:$B$37,0)),0)</f>
        <v/>
      </c>
    </row>
    <row r="4">
      <c r="A4" s="59" t="inlineStr">
        <is>
          <t>Активы на балансе, млн тг:</t>
        </is>
      </c>
      <c r="B4" s="63">
        <f>IFERROR(INDEX(Активы!$J$4:$J$17,MATCH($B$3,Активы!$A$4:$A$17,0)),0)</f>
        <v/>
      </c>
      <c r="C4" s="61" t="inlineStr">
        <is>
          <t>Общая площадь, м²:</t>
        </is>
      </c>
      <c r="D4" s="62">
        <f>IFERROR(INDEX(Объекты!$F$4:$F$37,MATCH($B$3,Объекты!$B$4:$B$37,0)),0)</f>
        <v/>
      </c>
    </row>
    <row r="6">
      <c r="A6" s="4" t="inlineStr">
        <is>
          <t>Статья</t>
        </is>
      </c>
      <c r="B6" s="4" t="inlineStr">
        <is>
          <t>Как считаем / привязка</t>
        </is>
      </c>
      <c r="C6" s="5" t="inlineStr">
        <is>
          <t>Мин, млн тг/год</t>
        </is>
      </c>
      <c r="D6" s="5" t="inlineStr">
        <is>
          <t>Макс, млн тг/год</t>
        </is>
      </c>
    </row>
    <row r="7">
      <c r="A7" s="64" t="inlineStr">
        <is>
          <t>ДОХОДЫ (вилки: зависят от программы, не от площади)</t>
        </is>
      </c>
      <c r="B7" s="33" t="n"/>
      <c r="C7" s="33" t="n"/>
      <c r="D7" s="33" t="n"/>
    </row>
    <row r="8">
      <c r="A8" s="6" t="inlineStr">
        <is>
          <t>Две НТО-точки</t>
        </is>
      </c>
      <c r="B8" s="28" t="inlineStr">
        <is>
          <t>кофе и выпечка: аренда + % оборота</t>
        </is>
      </c>
      <c r="C8" s="35" t="n">
        <v>2.4</v>
      </c>
      <c r="D8" s="35" t="n">
        <v>4.8</v>
      </c>
    </row>
    <row r="9">
      <c r="A9" s="6" t="inlineStr">
        <is>
          <t>Каток: прокат и билеты</t>
        </is>
      </c>
      <c r="B9" s="28" t="inlineStr">
        <is>
          <t>компактный контур, 120–160 дней</t>
        </is>
      </c>
      <c r="C9" s="35" t="n">
        <v>1.5</v>
      </c>
      <c r="D9" s="35" t="n">
        <v>3.5</v>
      </c>
    </row>
    <row r="10">
      <c r="A10" s="6" t="inlineStr">
        <is>
          <t>Событийная аренда</t>
        </is>
      </c>
      <c r="B10" s="28" t="inlineStr">
        <is>
          <t>10–18 частных и корпоративных событий</t>
        </is>
      </c>
      <c r="C10" s="35" t="n">
        <v>1</v>
      </c>
      <c r="D10" s="35" t="n">
        <v>2.8</v>
      </c>
    </row>
    <row r="11">
      <c r="A11" s="6" t="inlineStr">
        <is>
          <t>Ярмарки, маркеты, секции</t>
        </is>
      </c>
      <c r="B11" s="28" t="inlineStr">
        <is>
          <t>круглогодичный календарь</t>
        </is>
      </c>
      <c r="C11" s="35" t="n">
        <v>1.3</v>
      </c>
      <c r="D11" s="35" t="n">
        <v>2.6</v>
      </c>
    </row>
    <row r="12">
      <c r="A12" s="6" t="inlineStr">
        <is>
          <t>Спонсор года и реклама</t>
        </is>
      </c>
      <c r="B12" s="28" t="inlineStr">
        <is>
          <t>один якорный партнёр + экран</t>
        </is>
      </c>
      <c r="C12" s="35" t="n">
        <v>1.5</v>
      </c>
      <c r="D12" s="35" t="n">
        <v>3.7</v>
      </c>
    </row>
    <row r="13">
      <c r="A13" s="65" t="inlineStr">
        <is>
          <t>Доходы, итого</t>
        </is>
      </c>
      <c r="B13" s="46" t="n"/>
      <c r="C13" s="66">
        <f>SUM(C8:C12)</f>
        <v/>
      </c>
      <c r="D13" s="66">
        <f>SUM(D8:D12)</f>
        <v/>
      </c>
    </row>
    <row r="14">
      <c r="A14" s="64" t="inlineStr">
        <is>
          <t>РАСХОДЫ (OPEX): формулы «площадь × нормативы»</t>
        </is>
      </c>
      <c r="B14" s="33" t="n"/>
      <c r="C14" s="33" t="n"/>
      <c r="D14" s="33" t="n"/>
    </row>
    <row r="15">
      <c r="A15" s="6" t="inlineStr">
        <is>
          <t>Уборка и снегоуборка</t>
        </is>
      </c>
      <c r="B15" s="28" t="inlineStr">
        <is>
          <t>общая площадь × норматив × 12 мес</t>
        </is>
      </c>
      <c r="C15" s="67">
        <f>$D$4*Нормативы!G5*12/1000000</f>
        <v/>
      </c>
      <c r="D15" s="67">
        <f>$D$4*Нормативы!H5*12/1000000</f>
        <v/>
      </c>
    </row>
    <row r="16">
      <c r="A16" s="6" t="inlineStr">
        <is>
          <t>Озеленение и полив</t>
        </is>
      </c>
      <c r="B16" s="28" t="inlineStr">
        <is>
          <t>озеленение × норматив × 7 мес (апр–окт)</t>
        </is>
      </c>
      <c r="C16" s="67">
        <f>$D$3*Нормативы!G6*7/1000000</f>
        <v/>
      </c>
      <c r="D16" s="67">
        <f>$D$3*Нормативы!H6*7/1000000</f>
        <v/>
      </c>
    </row>
    <row r="17">
      <c r="A17" s="6" t="inlineStr">
        <is>
          <t>Свет, электро, digital</t>
        </is>
      </c>
      <c r="B17" s="28" t="inlineStr">
        <is>
          <t>общая площадь × годовой норматив</t>
        </is>
      </c>
      <c r="C17" s="67">
        <f>$D$4*Нормативы!G7/1000000</f>
        <v/>
      </c>
      <c r="D17" s="67">
        <f>$D$4*Нормативы!H7/1000000</f>
        <v/>
      </c>
    </row>
    <row r="18">
      <c r="A18" s="6" t="inlineStr">
        <is>
          <t>Зимний пакет</t>
        </is>
      </c>
      <c r="B18" s="28" t="inlineStr">
        <is>
          <t>норматив, млн тг/год</t>
        </is>
      </c>
      <c r="C18" s="67">
        <f>Нормативы!G10</f>
        <v/>
      </c>
      <c r="D18" s="67">
        <f>Нормативы!H10</f>
        <v/>
      </c>
    </row>
    <row r="19">
      <c r="A19" s="6" t="inlineStr">
        <is>
          <t>Программа и маркетинг</t>
        </is>
      </c>
      <c r="B19" s="28" t="inlineStr">
        <is>
          <t>число событий × цена события</t>
        </is>
      </c>
      <c r="C19" s="67">
        <f>Нормативы!G9*Нормативы!$C$16/1000</f>
        <v/>
      </c>
      <c r="D19" s="67">
        <f>Нормативы!H9*Нормативы!$D$16/1000</f>
        <v/>
      </c>
    </row>
    <row r="20">
      <c r="A20" s="6" t="inlineStr">
        <is>
          <t>Координатор кластера</t>
        </is>
      </c>
      <c r="B20" s="28" t="inlineStr">
        <is>
          <t>ставка × доля × 12 мес</t>
        </is>
      </c>
      <c r="C20" s="67">
        <f>Нормативы!$C$15*Нормативы!G8*12/1000</f>
        <v/>
      </c>
      <c r="D20" s="67">
        <f>Нормативы!$D$15*Нормативы!H8*12/1000</f>
        <v/>
      </c>
    </row>
    <row r="21">
      <c r="A21" s="6" t="inlineStr">
        <is>
          <t>Ремфонд</t>
        </is>
      </c>
      <c r="B21" s="28" t="inlineStr">
        <is>
          <t>% в год от активов на балансе + CAPEX активации</t>
        </is>
      </c>
      <c r="C21" s="67">
        <f>Нормативы!$C$17*($B$4+Нормативы!G12)</f>
        <v/>
      </c>
      <c r="D21" s="67">
        <f>Нормативы!$D$17*($B$4+Нормативы!H12)</f>
        <v/>
      </c>
    </row>
    <row r="22">
      <c r="A22" s="68" t="inlineStr">
        <is>
          <t>OPEX, итого</t>
        </is>
      </c>
      <c r="B22" s="46" t="n"/>
      <c r="C22" s="69">
        <f>SUM(C15:C21)</f>
        <v/>
      </c>
      <c r="D22" s="69">
        <f>SUM(D15:D21)</f>
        <v/>
      </c>
    </row>
    <row r="24">
      <c r="A24" s="64" t="inlineStr">
        <is>
          <t>ПОКРЫТИЕ OPEX ДОХОДАМИ</t>
        </is>
      </c>
      <c r="B24" s="33" t="n"/>
      <c r="C24" s="33" t="n"/>
      <c r="D24" s="33" t="n"/>
    </row>
    <row r="25">
      <c r="A25" s="6" t="inlineStr">
        <is>
          <t>Консервативный сценарий</t>
        </is>
      </c>
      <c r="B25" s="28" t="inlineStr">
        <is>
          <t>низ доходов / верх расходов</t>
        </is>
      </c>
      <c r="C25" s="70">
        <f>IFERROR(C13/D22,0)</f>
        <v/>
      </c>
      <c r="D25" s="33" t="n"/>
    </row>
    <row r="26">
      <c r="A26" s="6" t="inlineStr">
        <is>
          <t>По середине вилок</t>
        </is>
      </c>
      <c r="B26" s="28" t="inlineStr">
        <is>
          <t>средние значения обеих вилок</t>
        </is>
      </c>
      <c r="C26" s="70">
        <f>IFERROR(AVERAGE(C13:D13)/AVERAGE(C22:D22),0)</f>
        <v/>
      </c>
      <c r="D26" s="33" t="n"/>
    </row>
    <row r="27">
      <c r="A27" s="6" t="inlineStr">
        <is>
          <t>Оптимистичный сценарий</t>
        </is>
      </c>
      <c r="B27" s="28" t="inlineStr">
        <is>
          <t>верх доходов / низ расходов</t>
        </is>
      </c>
      <c r="C27" s="70">
        <f>IFERROR(D13/C22,0)</f>
        <v/>
      </c>
      <c r="D27" s="33" t="n"/>
    </row>
    <row r="28">
      <c r="A28" s="71" t="inlineStr">
        <is>
          <t>Целевой коридор пилота</t>
        </is>
      </c>
      <c r="B28" s="33" t="n"/>
      <c r="C28" s="72" t="inlineStr">
        <is>
          <t>70–100%</t>
        </is>
      </c>
      <c r="D28" s="33" t="n"/>
    </row>
    <row r="30">
      <c r="A30" s="64" t="inlineStr">
        <is>
          <t>ЧТО ДОЛЖНО СОЙТИСЬ</t>
        </is>
      </c>
      <c r="B30" s="33" t="n"/>
      <c r="C30" s="33" t="n"/>
      <c r="D30" s="33" t="n"/>
    </row>
    <row r="31">
      <c r="A31" s="73" t="inlineStr">
        <is>
          <t>• Каток отработал первую зиму без простоев</t>
        </is>
      </c>
    </row>
    <row r="32">
      <c r="A32" s="73" t="inlineStr">
        <is>
          <t>• Заявок на события больше, чем слотов</t>
        </is>
      </c>
    </row>
    <row r="33">
      <c r="A33" s="73" t="inlineStr">
        <is>
          <t>• Спонсор года подписан до старта сезона</t>
        </is>
      </c>
    </row>
    <row r="35">
      <c r="A35" s="12" t="inlineStr">
        <is>
          <t>Вилки планировочные, для защиты подхода. Точные ставки дадут факт BI Green и нулевой спринт (сентябрь–октябрь 2026); полная модель с помесячной сезонностью собирается на них в ноябре 2026.</t>
        </is>
      </c>
    </row>
    <row r="36"/>
  </sheetData>
  <mergeCells count="9">
    <mergeCell ref="A1:D1"/>
    <mergeCell ref="A31:D31"/>
    <mergeCell ref="A30:D30"/>
    <mergeCell ref="A35:D36"/>
    <mergeCell ref="A7:D7"/>
    <mergeCell ref="A24:D24"/>
    <mergeCell ref="A33:D33"/>
    <mergeCell ref="A32:D32"/>
    <mergeCell ref="A14:D14"/>
  </mergeCells>
  <dataValidations count="1">
    <dataValidation sqref="B3" showDropDown="0" showInputMessage="0" showErrorMessage="0" allowBlank="0" type="list">
      <formula1>=Объекты!$B$4:$B$37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5" customWidth="1" min="4" max="4"/>
  </cols>
  <sheetData>
    <row r="1">
      <c r="A1" s="58" t="inlineStr">
        <is>
          <t>Финмодель Т4 · Парк по ГЧП (BTO)</t>
        </is>
      </c>
    </row>
    <row r="3">
      <c r="A3" s="59" t="inlineStr">
        <is>
          <t>Объект (выберите из списка):</t>
        </is>
      </c>
      <c r="B3" s="60" t="inlineStr">
        <is>
          <t>Sphere Park</t>
        </is>
      </c>
      <c r="C3" s="61" t="inlineStr">
        <is>
          <t>Озеленение, м²:</t>
        </is>
      </c>
      <c r="D3" s="62">
        <f>IFERROR(INDEX(Объекты!$E$4:$E$37,MATCH($B$3,Объекты!$B$4:$B$37,0)),0)</f>
        <v/>
      </c>
    </row>
    <row r="4">
      <c r="A4" s="59" t="inlineStr">
        <is>
          <t>Активы на балансе, млн тг:</t>
        </is>
      </c>
      <c r="B4" s="63">
        <f>IFERROR(INDEX(Активы!$J$4:$J$17,MATCH($B$3,Активы!$A$4:$A$17,0)),0)</f>
        <v/>
      </c>
      <c r="C4" s="61" t="inlineStr">
        <is>
          <t>Общая площадь, м²:</t>
        </is>
      </c>
      <c r="D4" s="62">
        <f>IFERROR(INDEX(Объекты!$F$4:$F$37,MATCH($B$3,Объекты!$B$4:$B$37,0)),0)</f>
        <v/>
      </c>
    </row>
    <row r="6">
      <c r="A6" s="4" t="inlineStr">
        <is>
          <t>Статья</t>
        </is>
      </c>
      <c r="B6" s="4" t="inlineStr">
        <is>
          <t>Как считаем / привязка</t>
        </is>
      </c>
      <c r="C6" s="5" t="inlineStr">
        <is>
          <t>Мин, млн тг/год</t>
        </is>
      </c>
      <c r="D6" s="5" t="inlineStr">
        <is>
          <t>Макс, млн тг/год</t>
        </is>
      </c>
    </row>
    <row r="7">
      <c r="A7" s="64" t="inlineStr">
        <is>
          <t>ДОХОДЫ (вилки: зависят от программы, не от площади)</t>
        </is>
      </c>
      <c r="B7" s="33" t="n"/>
      <c r="C7" s="33" t="n"/>
      <c r="D7" s="33" t="n"/>
    </row>
    <row r="8">
      <c r="A8" s="6" t="inlineStr">
        <is>
          <t>Компенсация эксплуатации (акимат)</t>
        </is>
      </c>
      <c r="B8" s="28" t="inlineStr">
        <is>
          <t>структура BTO: ~0,33 млрд тг за 5 лет</t>
        </is>
      </c>
      <c r="C8" s="35" t="n">
        <v>55</v>
      </c>
      <c r="D8" s="35" t="n">
        <v>70</v>
      </c>
    </row>
    <row r="9">
      <c r="A9" s="6" t="inlineStr">
        <is>
          <t>НТО-точки, 3–5 шт</t>
        </is>
      </c>
      <c r="B9" s="28" t="inlineStr">
        <is>
          <t>кофе, стритфуд, прокат</t>
        </is>
      </c>
      <c r="C9" s="35" t="n">
        <v>3</v>
      </c>
      <c r="D9" s="35" t="n">
        <v>6</v>
      </c>
    </row>
    <row r="10">
      <c r="A10" s="6" t="inlineStr">
        <is>
          <t>Каток и зимний прокат</t>
        </is>
      </c>
      <c r="B10" s="28" t="inlineStr">
        <is>
          <t>большой контур, 120–160 дней</t>
        </is>
      </c>
      <c r="C10" s="35" t="n">
        <v>8</v>
      </c>
      <c r="D10" s="35" t="n">
        <v>16</v>
      </c>
    </row>
    <row r="11">
      <c r="A11" s="6" t="inlineStr">
        <is>
          <t>Событийная аренда и фестивали</t>
        </is>
      </c>
      <c r="B11" s="28" t="inlineStr">
        <is>
          <t>городской масштаб</t>
        </is>
      </c>
      <c r="C11" s="35" t="n">
        <v>3</v>
      </c>
      <c r="D11" s="35" t="n">
        <v>8</v>
      </c>
    </row>
    <row r="12">
      <c r="A12" s="6" t="inlineStr">
        <is>
          <t>Ярмарки и маркеты</t>
        </is>
      </c>
      <c r="B12" s="28" t="inlineStr">
        <is>
          <t>круглогодично</t>
        </is>
      </c>
      <c r="C12" s="35" t="n">
        <v>2</v>
      </c>
      <c r="D12" s="35" t="n">
        <v>4</v>
      </c>
    </row>
    <row r="13">
      <c r="A13" s="6" t="inlineStr">
        <is>
          <t>Спонсоры и реклама</t>
        </is>
      </c>
      <c r="B13" s="28" t="inlineStr">
        <is>
          <t>якорные партнёры</t>
        </is>
      </c>
      <c r="C13" s="35" t="n">
        <v>2</v>
      </c>
      <c r="D13" s="35" t="n">
        <v>5</v>
      </c>
    </row>
    <row r="14">
      <c r="A14" s="65" t="inlineStr">
        <is>
          <t>Доходы, итого</t>
        </is>
      </c>
      <c r="B14" s="46" t="n"/>
      <c r="C14" s="66">
        <f>SUM(C8:C13)</f>
        <v/>
      </c>
      <c r="D14" s="66">
        <f>SUM(D8:D13)</f>
        <v/>
      </c>
    </row>
    <row r="15">
      <c r="A15" s="64" t="inlineStr">
        <is>
          <t>РАСХОДЫ (OPEX): формулы «площадь × нормативы»</t>
        </is>
      </c>
      <c r="B15" s="33" t="n"/>
      <c r="C15" s="33" t="n"/>
      <c r="D15" s="33" t="n"/>
    </row>
    <row r="16">
      <c r="A16" s="6" t="inlineStr">
        <is>
          <t>Уборка и снегоуборка</t>
        </is>
      </c>
      <c r="B16" s="28" t="inlineStr">
        <is>
          <t>общая площадь × норматив × 12 мес</t>
        </is>
      </c>
      <c r="C16" s="67">
        <f>$D$4*Нормативы!I5*12/1000000</f>
        <v/>
      </c>
      <c r="D16" s="67">
        <f>$D$4*Нормативы!J5*12/1000000</f>
        <v/>
      </c>
    </row>
    <row r="17">
      <c r="A17" s="6" t="inlineStr">
        <is>
          <t>Озеленение и полив</t>
        </is>
      </c>
      <c r="B17" s="28" t="inlineStr">
        <is>
          <t>озеленение × норматив × 7 мес (апр–окт)</t>
        </is>
      </c>
      <c r="C17" s="67">
        <f>$D$3*Нормативы!I6*7/1000000</f>
        <v/>
      </c>
      <c r="D17" s="67">
        <f>$D$3*Нормативы!J6*7/1000000</f>
        <v/>
      </c>
    </row>
    <row r="18">
      <c r="A18" s="6" t="inlineStr">
        <is>
          <t>Свет, электро, digital</t>
        </is>
      </c>
      <c r="B18" s="28" t="inlineStr">
        <is>
          <t>общая площадь × годовой норматив</t>
        </is>
      </c>
      <c r="C18" s="67">
        <f>$D$4*Нормативы!I7/1000000</f>
        <v/>
      </c>
      <c r="D18" s="67">
        <f>$D$4*Нормативы!J7/1000000</f>
        <v/>
      </c>
    </row>
    <row r="19">
      <c r="A19" s="6" t="inlineStr">
        <is>
          <t>Зимний пакет</t>
        </is>
      </c>
      <c r="B19" s="28" t="inlineStr">
        <is>
          <t>норматив, млн тг/год</t>
        </is>
      </c>
      <c r="C19" s="67">
        <f>Нормативы!I10</f>
        <v/>
      </c>
      <c r="D19" s="67">
        <f>Нормативы!J10</f>
        <v/>
      </c>
    </row>
    <row r="20">
      <c r="A20" s="6" t="inlineStr">
        <is>
          <t>Программа и маркетинг</t>
        </is>
      </c>
      <c r="B20" s="28" t="inlineStr">
        <is>
          <t>число событий × цена события</t>
        </is>
      </c>
      <c r="C20" s="67">
        <f>Нормативы!I9*Нормативы!$C$16/1000</f>
        <v/>
      </c>
      <c r="D20" s="67">
        <f>Нормативы!J9*Нормативы!$D$16/1000</f>
        <v/>
      </c>
    </row>
    <row r="21">
      <c r="A21" s="6" t="inlineStr">
        <is>
          <t>Персонал парка</t>
        </is>
      </c>
      <c r="B21" s="28" t="inlineStr">
        <is>
          <t>норматив, млн тг/год</t>
        </is>
      </c>
      <c r="C21" s="67">
        <f>Нормативы!I11</f>
        <v/>
      </c>
      <c r="D21" s="67">
        <f>Нормативы!J11</f>
        <v/>
      </c>
    </row>
    <row r="22">
      <c r="A22" s="6" t="inlineStr">
        <is>
          <t>Ремфонд</t>
        </is>
      </c>
      <c r="B22" s="28" t="inlineStr">
        <is>
          <t>% в год от активов на балансе + CAPEX активации</t>
        </is>
      </c>
      <c r="C22" s="67">
        <f>Нормативы!$C$17*($B$4+Нормативы!I12)</f>
        <v/>
      </c>
      <c r="D22" s="67">
        <f>Нормативы!$D$17*($B$4+Нормативы!J12)</f>
        <v/>
      </c>
    </row>
    <row r="23">
      <c r="A23" s="68" t="inlineStr">
        <is>
          <t>OPEX, итого</t>
        </is>
      </c>
      <c r="B23" s="46" t="n"/>
      <c r="C23" s="69">
        <f>SUM(C16:C22)</f>
        <v/>
      </c>
      <c r="D23" s="69">
        <f>SUM(D16:D22)</f>
        <v/>
      </c>
    </row>
    <row r="25">
      <c r="A25" s="64" t="inlineStr">
        <is>
          <t>ПОКРЫТИЕ OPEX ДОХОДАМИ</t>
        </is>
      </c>
      <c r="B25" s="33" t="n"/>
      <c r="C25" s="33" t="n"/>
      <c r="D25" s="33" t="n"/>
    </row>
    <row r="26">
      <c r="A26" s="6" t="inlineStr">
        <is>
          <t>Консервативный сценарий</t>
        </is>
      </c>
      <c r="B26" s="28" t="inlineStr">
        <is>
          <t>низ доходов / верх расходов</t>
        </is>
      </c>
      <c r="C26" s="70">
        <f>IFERROR(C14/D23,0)</f>
        <v/>
      </c>
      <c r="D26" s="33" t="n"/>
    </row>
    <row r="27">
      <c r="A27" s="6" t="inlineStr">
        <is>
          <t>По середине вилок</t>
        </is>
      </c>
      <c r="B27" s="28" t="inlineStr">
        <is>
          <t>средние значения обеих вилок</t>
        </is>
      </c>
      <c r="C27" s="70">
        <f>IFERROR(AVERAGE(C14:D14)/AVERAGE(C23:D23),0)</f>
        <v/>
      </c>
      <c r="D27" s="33" t="n"/>
    </row>
    <row r="28">
      <c r="A28" s="6" t="inlineStr">
        <is>
          <t>Оптимистичный сценарий</t>
        </is>
      </c>
      <c r="B28" s="28" t="inlineStr">
        <is>
          <t>верх доходов / низ расходов</t>
        </is>
      </c>
      <c r="C28" s="70">
        <f>IFERROR(D14/C23,0)</f>
        <v/>
      </c>
      <c r="D28" s="33" t="n"/>
    </row>
    <row r="29">
      <c r="A29" s="71" t="inlineStr">
        <is>
          <t>Целевой коридор пилота</t>
        </is>
      </c>
      <c r="B29" s="33" t="n"/>
      <c r="C29" s="72" t="inlineStr">
        <is>
          <t>80–110%</t>
        </is>
      </c>
      <c r="D29" s="33" t="n"/>
    </row>
    <row r="31">
      <c r="A31" s="64" t="inlineStr">
        <is>
          <t>ЧТО ДОЛЖНО СОЙТИСЬ</t>
        </is>
      </c>
      <c r="B31" s="33" t="n"/>
      <c r="C31" s="33" t="n"/>
      <c r="D31" s="33" t="n"/>
    </row>
    <row r="32">
      <c r="A32" s="73" t="inlineStr">
        <is>
          <t>• Ремфонд и капремонт сидят в компенсации эксплуатации (BTO), в OPEX не дублируются</t>
        </is>
      </c>
    </row>
    <row r="33">
      <c r="A33" s="73" t="inlineStr">
        <is>
          <t>• ГЧП-договор подписан, компенсация в бюджете МИО</t>
        </is>
      </c>
    </row>
    <row r="34">
      <c r="A34" s="73" t="inlineStr">
        <is>
          <t>• Каток и события дотягивают покрытие до 100%+</t>
        </is>
      </c>
    </row>
    <row r="35">
      <c r="A35" s="73" t="inlineStr">
        <is>
          <t>• Стандарт содержания выше городского бенчмарка</t>
        </is>
      </c>
    </row>
    <row r="36">
      <c r="A36" s="73" t="inlineStr">
        <is>
          <t>• CAPEX ~2,2 млрд тг компенсируется бюджетом МИО отдельно (2026–2031) — в операционную модель не входит</t>
        </is>
      </c>
    </row>
    <row r="38">
      <c r="A38" s="12" t="inlineStr">
        <is>
          <t>Вилки планировочные, для защиты подхода. Точные ставки дадут факт BI Green и нулевой спринт (сентябрь–октябрь 2026); полная модель с помесячной сезонностью собирается на них в ноябре 2026.</t>
        </is>
      </c>
    </row>
    <row r="39"/>
  </sheetData>
  <mergeCells count="11">
    <mergeCell ref="A1:D1"/>
    <mergeCell ref="A31:D31"/>
    <mergeCell ref="A34:D34"/>
    <mergeCell ref="A35:D35"/>
    <mergeCell ref="A38:D39"/>
    <mergeCell ref="A15:D15"/>
    <mergeCell ref="A7:D7"/>
    <mergeCell ref="A25:D25"/>
    <mergeCell ref="A33:D33"/>
    <mergeCell ref="A32:D32"/>
    <mergeCell ref="A36:D36"/>
  </mergeCells>
  <dataValidations count="1">
    <dataValidation sqref="B3" showDropDown="0" showInputMessage="0" showErrorMessage="0" allowBlank="0" type="list">
      <formula1>=Объекты!$B$4:$B$37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2026-08-31T05:30:39Z</dcterms:created>
  <dcterms:modified xmlns:dcterms="http://purl.org/dc/terms/" xmlns:xsi="http://www.w3.org/2001/XMLSchema-instance" xsi:type="dcterms:W3CDTF">2026-08-31T05:30:40Z</dcterms:modified>
</cp:coreProperties>
</file>