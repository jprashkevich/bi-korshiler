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Сводка" sheetId="1" state="visible" r:id="rId1"/>
    <sheet xmlns:r="http://schemas.openxmlformats.org/officeDocument/2006/relationships" name="Объекты" sheetId="2" state="visible" r:id="rId2"/>
    <sheet xmlns:r="http://schemas.openxmlformats.org/officeDocument/2006/relationships" name="Нормативы" sheetId="3" state="visible" r:id="rId3"/>
    <sheet xmlns:r="http://schemas.openxmlformats.org/officeDocument/2006/relationships" name="Т1 Транзитная" sheetId="4" state="visible" r:id="rId4"/>
    <sheet xmlns:r="http://schemas.openxmlformats.org/officeDocument/2006/relationships" name="Т2 Активная" sheetId="5" state="visible" r:id="rId5"/>
    <sheet xmlns:r="http://schemas.openxmlformats.org/officeDocument/2006/relationships" name="Т3 Сквер" sheetId="6" state="visible" r:id="rId6"/>
    <sheet xmlns:r="http://schemas.openxmlformats.org/officeDocument/2006/relationships" name="Т4 Sphere Park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#"/>
    <numFmt numFmtId="165" formatCode="0.0"/>
  </numFmts>
  <fonts count="28">
    <font>
      <name val="Calibri"/>
      <family val="2"/>
      <color theme="1"/>
      <sz val="11"/>
      <scheme val="minor"/>
    </font>
    <font>
      <name val="Arial"/>
      <b val="1"/>
      <color rgb="001B2A6E"/>
      <sz val="13"/>
    </font>
    <font>
      <name val="Arial"/>
      <color rgb="008A93A6"/>
      <sz val="9"/>
    </font>
    <font>
      <name val="Arial"/>
      <b val="1"/>
      <color rgb="00FFFFFF"/>
      <sz val="10"/>
    </font>
    <font>
      <name val="Arial"/>
      <sz val="9.5"/>
    </font>
    <font>
      <name val="Arial"/>
      <color rgb="00008000"/>
      <sz val="9.5"/>
    </font>
    <font>
      <name val="Arial"/>
      <b val="1"/>
      <sz val="9.5"/>
    </font>
    <font>
      <name val="Arial"/>
      <b val="1"/>
      <color rgb="001B2A6E"/>
      <sz val="9.5"/>
    </font>
    <font>
      <name val="Arial"/>
      <b val="1"/>
      <color rgb="001E7A45"/>
      <sz val="9.5"/>
    </font>
    <font>
      <name val="Arial"/>
      <b val="1"/>
      <color rgb="00B03A2E"/>
      <sz val="9.5"/>
    </font>
    <font>
      <name val="Arial"/>
      <color rgb="00000000"/>
      <sz val="9.5"/>
    </font>
    <font>
      <name val="Arial"/>
      <b val="1"/>
      <color rgb="00FFFFFF"/>
      <sz val="9.5"/>
    </font>
    <font>
      <name val="Arial"/>
      <sz val="10"/>
    </font>
    <font>
      <name val="Arial"/>
      <color rgb="000000FF"/>
      <sz val="10"/>
    </font>
    <font>
      <name val="Arial"/>
      <b val="1"/>
      <color rgb="001B2A6E"/>
      <sz val="9"/>
    </font>
    <font>
      <name val="Arial"/>
      <b val="1"/>
      <color rgb="001B2A6E"/>
      <sz val="14"/>
    </font>
    <font>
      <name val="Arial"/>
      <b val="1"/>
      <sz val="10"/>
    </font>
    <font>
      <name val="Arial"/>
      <b val="1"/>
      <color rgb="000000FF"/>
      <sz val="10"/>
    </font>
    <font>
      <name val="Arial"/>
      <b val="1"/>
      <color rgb="00008000"/>
      <sz val="10"/>
    </font>
    <font>
      <name val="Arial"/>
      <b val="1"/>
      <color rgb="001E7A45"/>
      <sz val="10.5"/>
    </font>
    <font>
      <name val="Arial"/>
      <b val="1"/>
      <color rgb="00B03A2E"/>
      <sz val="10.5"/>
    </font>
    <font>
      <name val="Arial"/>
      <b val="1"/>
      <sz val="10.5"/>
    </font>
    <font>
      <name val="Arial"/>
      <b val="1"/>
      <color rgb="001B2A6E"/>
      <sz val="10.5"/>
    </font>
    <font>
      <name val="Arial"/>
      <i val="1"/>
      <color rgb="008A93A6"/>
      <sz val="9"/>
    </font>
    <font>
      <name val="Arial"/>
      <b val="1"/>
      <color rgb="001B2A6E"/>
      <sz val="15"/>
    </font>
    <font>
      <name val="Arial"/>
      <color rgb="008A93A6"/>
      <sz val="10"/>
    </font>
    <font>
      <name val="Arial"/>
      <color rgb="00008000"/>
      <sz val="10"/>
    </font>
    <font>
      <name val="Arial"/>
      <b val="1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B2A6E"/>
      </patternFill>
    </fill>
    <fill>
      <patternFill patternType="solid">
        <fgColor rgb="00FFFF00"/>
      </patternFill>
    </fill>
    <fill>
      <patternFill patternType="solid">
        <fgColor rgb="00DFE8F4"/>
      </patternFill>
    </fill>
    <fill>
      <patternFill patternType="solid">
        <fgColor rgb="00EAF1FA"/>
      </patternFill>
    </fill>
  </fills>
  <borders count="2">
    <border>
      <left/>
      <right/>
      <top/>
      <bottom/>
      <diagonal/>
    </border>
    <border>
      <left style="thin">
        <color rgb="00D5DCE8"/>
      </left>
      <right style="thin">
        <color rgb="00D5DCE8"/>
      </right>
      <top style="thin">
        <color rgb="00D5DCE8"/>
      </top>
      <bottom style="thin">
        <color rgb="00D5DCE8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24" fillId="0" borderId="0" pivotButton="0" quotePrefix="0" xfId="0"/>
    <xf numFmtId="0" fontId="25" fillId="0" borderId="0" pivotButton="0" quotePrefix="0" xfId="0"/>
    <xf numFmtId="0" fontId="1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right" vertical="center"/>
    </xf>
    <xf numFmtId="0" fontId="12" fillId="0" borderId="1" pivotButton="0" quotePrefix="0" xfId="0"/>
    <xf numFmtId="0" fontId="26" fillId="0" borderId="1" applyAlignment="1" pivotButton="0" quotePrefix="0" xfId="0">
      <alignment horizontal="right"/>
    </xf>
    <xf numFmtId="3" fontId="26" fillId="0" borderId="1" applyAlignment="1" pivotButton="0" quotePrefix="0" xfId="0">
      <alignment horizontal="right"/>
    </xf>
    <xf numFmtId="165" fontId="26" fillId="0" borderId="1" applyAlignment="1" pivotButton="0" quotePrefix="0" xfId="0">
      <alignment horizontal="right"/>
    </xf>
    <xf numFmtId="9" fontId="18" fillId="0" borderId="1" applyAlignment="1" pivotButton="0" quotePrefix="0" xfId="0">
      <alignment horizontal="right"/>
    </xf>
    <xf numFmtId="0" fontId="27" fillId="0" borderId="1" applyAlignment="1" pivotButton="0" quotePrefix="0" xfId="0">
      <alignment horizontal="right"/>
    </xf>
    <xf numFmtId="0" fontId="23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3" fontId="4" fillId="0" borderId="1" applyAlignment="1" pivotButton="0" quotePrefix="0" xfId="0">
      <alignment horizontal="right"/>
    </xf>
    <xf numFmtId="3" fontId="5" fillId="0" borderId="1" applyAlignment="1" pivotButton="0" quotePrefix="0" xfId="0">
      <alignment horizontal="right"/>
    </xf>
    <xf numFmtId="0" fontId="4" fillId="0" borderId="1" applyAlignment="1" pivotButton="0" quotePrefix="0" xfId="0">
      <alignment horizontal="center"/>
    </xf>
    <xf numFmtId="0" fontId="6" fillId="0" borderId="1" pivotButton="0" quotePrefix="0" xfId="0"/>
    <xf numFmtId="0" fontId="7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9" fillId="0" borderId="1" pivotButton="0" quotePrefix="0" xfId="0"/>
    <xf numFmtId="3" fontId="10" fillId="0" borderId="1" applyAlignment="1" pivotButton="0" quotePrefix="0" xfId="0">
      <alignment horizontal="right"/>
    </xf>
    <xf numFmtId="0" fontId="11" fillId="2" borderId="1" pivotButton="0" quotePrefix="0" xfId="0"/>
    <xf numFmtId="0" fontId="2" fillId="0" borderId="1" pivotButton="0" quotePrefix="0" xfId="0"/>
    <xf numFmtId="3" fontId="13" fillId="3" borderId="1" applyAlignment="1" pivotButton="0" quotePrefix="0" xfId="0">
      <alignment horizontal="right"/>
    </xf>
    <xf numFmtId="2" fontId="13" fillId="3" borderId="1" applyAlignment="1" pivotButton="0" quotePrefix="0" xfId="0">
      <alignment horizontal="right"/>
    </xf>
    <xf numFmtId="164" fontId="13" fillId="3" borderId="1" applyAlignment="1" pivotButton="0" quotePrefix="0" xfId="0">
      <alignment horizontal="right"/>
    </xf>
    <xf numFmtId="0" fontId="14" fillId="4" borderId="0" pivotButton="0" quotePrefix="0" xfId="0"/>
    <xf numFmtId="0" fontId="0" fillId="0" borderId="1" pivotButton="0" quotePrefix="0" xfId="0"/>
    <xf numFmtId="9" fontId="13" fillId="3" borderId="1" applyAlignment="1" pivotButton="0" quotePrefix="0" xfId="0">
      <alignment horizontal="right"/>
    </xf>
    <xf numFmtId="165" fontId="13" fillId="3" borderId="1" applyAlignment="1" pivotButton="0" quotePrefix="0" xfId="0">
      <alignment horizontal="right"/>
    </xf>
    <xf numFmtId="0" fontId="15" fillId="0" borderId="0" pivotButton="0" quotePrefix="0" xfId="0"/>
    <xf numFmtId="0" fontId="16" fillId="0" borderId="0" pivotButton="0" quotePrefix="0" xfId="0"/>
    <xf numFmtId="0" fontId="17" fillId="3" borderId="1" pivotButton="0" quotePrefix="0" xfId="0"/>
    <xf numFmtId="0" fontId="16" fillId="0" borderId="0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14" fillId="4" borderId="1" pivotButton="0" quotePrefix="0" xfId="0"/>
    <xf numFmtId="0" fontId="19" fillId="5" borderId="1" pivotButton="0" quotePrefix="0" xfId="0"/>
    <xf numFmtId="0" fontId="0" fillId="5" borderId="1" pivotButton="0" quotePrefix="0" xfId="0"/>
    <xf numFmtId="165" fontId="19" fillId="5" borderId="1" applyAlignment="1" pivotButton="0" quotePrefix="0" xfId="0">
      <alignment horizontal="right"/>
    </xf>
    <xf numFmtId="165" fontId="12" fillId="0" borderId="1" applyAlignment="1" pivotButton="0" quotePrefix="0" xfId="0">
      <alignment horizontal="right"/>
    </xf>
    <xf numFmtId="0" fontId="20" fillId="5" borderId="1" pivotButton="0" quotePrefix="0" xfId="0"/>
    <xf numFmtId="165" fontId="20" fillId="5" borderId="1" applyAlignment="1" pivotButton="0" quotePrefix="0" xfId="0">
      <alignment horizontal="right"/>
    </xf>
    <xf numFmtId="9" fontId="21" fillId="0" borderId="1" applyAlignment="1" pivotButton="0" quotePrefix="0" xfId="0">
      <alignment horizontal="right"/>
    </xf>
    <xf numFmtId="0" fontId="16" fillId="0" borderId="1" pivotButton="0" quotePrefix="0" xfId="0"/>
    <xf numFmtId="0" fontId="22" fillId="0" borderId="1" applyAlignment="1" pivotButton="0" quotePrefix="0" xfId="0">
      <alignment horizontal="right"/>
    </xf>
    <xf numFmtId="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7" customWidth="1" min="2" max="2"/>
    <col width="19" customWidth="1" min="3" max="3"/>
    <col width="17" customWidth="1" min="4" max="4"/>
    <col width="19" customWidth="1" min="5" max="5"/>
  </cols>
  <sheetData>
    <row r="1">
      <c r="A1" s="1" t="inlineStr">
        <is>
          <t>Финмодели пилота «Парки и аллеи BI» · Т1–Т4</t>
        </is>
      </c>
    </row>
    <row r="2">
      <c r="A2" s="2" t="inlineStr">
        <is>
          <t>Планировочные вилки к защите пилота · август 2026 · BI Service</t>
        </is>
      </c>
    </row>
    <row r="4">
      <c r="A4" s="3" t="inlineStr">
        <is>
          <t>Как пользоваться. На листах моделей выберите объект из выпадающего списка (лист «Объекты», 32 территории, шорт-лист отмечен «Да») — обе площади подтянутся сами: озеленение из реестра, общая = озеленение × коэффициент (лист «Нормативы», по умолчанию ×2). Уборка и свет считаются от общей площади, озеленение и полив — от зелёной. Жёлтые ячейки — редактируемые ставки.</t>
        </is>
      </c>
    </row>
    <row r="5"/>
    <row r="6"/>
    <row r="8">
      <c r="A8" s="4" t="inlineStr">
        <is>
          <t>Показатель</t>
        </is>
      </c>
      <c r="B8" s="5" t="inlineStr">
        <is>
          <t>Т1 · Flora 1+2</t>
        </is>
      </c>
      <c r="C8" s="5" t="inlineStr">
        <is>
          <t>Т2 · Хедлайнер Экс.</t>
        </is>
      </c>
      <c r="D8" s="5" t="inlineStr">
        <is>
          <t>Т3 · Авеню 5</t>
        </is>
      </c>
      <c r="E8" s="5" t="inlineStr">
        <is>
          <t>Т4 · Sphere Park</t>
        </is>
      </c>
    </row>
    <row r="9">
      <c r="A9" s="6" t="inlineStr">
        <is>
          <t>Выбранный объект</t>
        </is>
      </c>
      <c r="B9" s="7">
        <f>'Т1 Транзитная'!B3</f>
        <v/>
      </c>
      <c r="C9" s="7">
        <f>'Т2 Активная'!B3</f>
        <v/>
      </c>
      <c r="D9" s="7">
        <f>'Т3 Сквер'!B3</f>
        <v/>
      </c>
      <c r="E9" s="7">
        <f>'Т4 Sphere Park'!B3</f>
        <v/>
      </c>
    </row>
    <row r="10">
      <c r="A10" s="6" t="inlineStr">
        <is>
          <t>Озеленение, м²</t>
        </is>
      </c>
      <c r="B10" s="8">
        <f>'Т1 Транзитная'!D3</f>
        <v/>
      </c>
      <c r="C10" s="8">
        <f>'Т2 Активная'!D3</f>
        <v/>
      </c>
      <c r="D10" s="8">
        <f>'Т3 Сквер'!D3</f>
        <v/>
      </c>
      <c r="E10" s="8">
        <f>'Т4 Sphere Park'!D3</f>
        <v/>
      </c>
    </row>
    <row r="11">
      <c r="A11" s="6" t="inlineStr">
        <is>
          <t>Общая площадь, м²</t>
        </is>
      </c>
      <c r="B11" s="8">
        <f>'Т1 Транзитная'!D4</f>
        <v/>
      </c>
      <c r="C11" s="8">
        <f>'Т2 Активная'!D4</f>
        <v/>
      </c>
      <c r="D11" s="8">
        <f>'Т3 Сквер'!D4</f>
        <v/>
      </c>
      <c r="E11" s="8">
        <f>'Т4 Sphere Park'!D4</f>
        <v/>
      </c>
    </row>
    <row r="12">
      <c r="A12" s="6" t="inlineStr">
        <is>
          <t>Доходы, млн тг/год (мин)</t>
        </is>
      </c>
      <c r="B12" s="9">
        <f>'Т1 Транзитная'!C11</f>
        <v/>
      </c>
      <c r="C12" s="9">
        <f>'Т2 Активная'!C13</f>
        <v/>
      </c>
      <c r="D12" s="9">
        <f>'Т3 Сквер'!C13</f>
        <v/>
      </c>
      <c r="E12" s="9">
        <f>'Т4 Sphere Park'!C14</f>
        <v/>
      </c>
    </row>
    <row r="13">
      <c r="A13" s="6" t="inlineStr">
        <is>
          <t>Доходы, млн тг/год (макс)</t>
        </is>
      </c>
      <c r="B13" s="9">
        <f>'Т1 Транзитная'!D11</f>
        <v/>
      </c>
      <c r="C13" s="9">
        <f>'Т2 Активная'!D13</f>
        <v/>
      </c>
      <c r="D13" s="9">
        <f>'Т3 Сквер'!D13</f>
        <v/>
      </c>
      <c r="E13" s="9">
        <f>'Т4 Sphere Park'!D14</f>
        <v/>
      </c>
    </row>
    <row r="14">
      <c r="A14" s="6" t="inlineStr">
        <is>
          <t>OPEX, млн тг/год (мин)</t>
        </is>
      </c>
      <c r="B14" s="9">
        <f>'Т1 Транзитная'!C18</f>
        <v/>
      </c>
      <c r="C14" s="9">
        <f>'Т2 Активная'!C21</f>
        <v/>
      </c>
      <c r="D14" s="9">
        <f>'Т3 Сквер'!C22</f>
        <v/>
      </c>
      <c r="E14" s="9">
        <f>'Т4 Sphere Park'!C23</f>
        <v/>
      </c>
    </row>
    <row r="15">
      <c r="A15" s="6" t="inlineStr">
        <is>
          <t>OPEX, млн тг/год (макс)</t>
        </is>
      </c>
      <c r="B15" s="9">
        <f>'Т1 Транзитная'!D18</f>
        <v/>
      </c>
      <c r="C15" s="9">
        <f>'Т2 Активная'!D21</f>
        <v/>
      </c>
      <c r="D15" s="9">
        <f>'Т3 Сквер'!D22</f>
        <v/>
      </c>
      <c r="E15" s="9">
        <f>'Т4 Sphere Park'!D23</f>
        <v/>
      </c>
    </row>
    <row r="16">
      <c r="A16" s="6" t="inlineStr">
        <is>
          <t>Покрытие OPEX, консервативно</t>
        </is>
      </c>
      <c r="B16" s="10">
        <f>IFERROR('Т1 Транзитная'!C11/'Т1 Транзитная'!D18,0)</f>
        <v/>
      </c>
      <c r="C16" s="10">
        <f>IFERROR('Т2 Активная'!C13/'Т2 Активная'!D21,0)</f>
        <v/>
      </c>
      <c r="D16" s="10">
        <f>IFERROR('Т3 Сквер'!C13/'Т3 Сквер'!D22,0)</f>
        <v/>
      </c>
      <c r="E16" s="10">
        <f>IFERROR('Т4 Sphere Park'!C14/'Т4 Sphere Park'!D23,0)</f>
        <v/>
      </c>
    </row>
    <row r="17">
      <c r="A17" s="6" t="inlineStr">
        <is>
          <t>Покрытие OPEX, по середине вилок</t>
        </is>
      </c>
      <c r="B17" s="10">
        <f>IFERROR(AVERAGE('Т1 Транзитная'!C11:D11)/AVERAGE('Т1 Транзитная'!C18:D18),0)</f>
        <v/>
      </c>
      <c r="C17" s="10">
        <f>IFERROR(AVERAGE('Т2 Активная'!C13:D13)/AVERAGE('Т2 Активная'!C21:D21),0)</f>
        <v/>
      </c>
      <c r="D17" s="10">
        <f>IFERROR(AVERAGE('Т3 Сквер'!C13:D13)/AVERAGE('Т3 Сквер'!C22:D22),0)</f>
        <v/>
      </c>
      <c r="E17" s="10">
        <f>IFERROR(AVERAGE('Т4 Sphere Park'!C14:D14)/AVERAGE('Т4 Sphere Park'!C23:D23),0)</f>
        <v/>
      </c>
    </row>
    <row r="18">
      <c r="A18" s="6" t="inlineStr">
        <is>
          <t>Покрытие OPEX, оптимистично</t>
        </is>
      </c>
      <c r="B18" s="10">
        <f>IFERROR('Т1 Транзитная'!D11/'Т1 Транзитная'!C18,0)</f>
        <v/>
      </c>
      <c r="C18" s="10">
        <f>IFERROR('Т2 Активная'!D13/'Т2 Активная'!C21,0)</f>
        <v/>
      </c>
      <c r="D18" s="10">
        <f>IFERROR('Т3 Сквер'!D13/'Т3 Сквер'!C22,0)</f>
        <v/>
      </c>
      <c r="E18" s="10">
        <f>IFERROR('Т4 Sphere Park'!D14/'Т4 Sphere Park'!C23,0)</f>
        <v/>
      </c>
    </row>
    <row r="19">
      <c r="A19" s="6" t="inlineStr">
        <is>
          <t>Целевой коридор пилота</t>
        </is>
      </c>
      <c r="B19" s="11" t="inlineStr">
        <is>
          <t>10–30%</t>
        </is>
      </c>
      <c r="C19" s="11" t="inlineStr">
        <is>
          <t>40–70%</t>
        </is>
      </c>
      <c r="D19" s="11" t="inlineStr">
        <is>
          <t>70–100%</t>
        </is>
      </c>
      <c r="E19" s="11" t="inlineStr">
        <is>
          <t>80–110%</t>
        </is>
      </c>
    </row>
    <row r="21">
      <c r="A21" s="12" t="inlineStr">
        <is>
          <t>Вилки планировочные, для защиты подхода. Точные ставки дадут факт BI Green и нулевой спринт (сентябрь–октябрь 2026); полная модель с помесячной сезонностью собирается на них в ноябре 2026. CAPEX Sphere Park (~2,2 млрд тг, BTO) компенсируется бюджетом отдельно и в операционные модели не входит.</t>
        </is>
      </c>
    </row>
    <row r="22"/>
  </sheetData>
  <mergeCells count="4">
    <mergeCell ref="A2:E2"/>
    <mergeCell ref="A1:E1"/>
    <mergeCell ref="A21:E22"/>
    <mergeCell ref="A4:E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32" customWidth="1" min="2" max="2"/>
    <col width="9" customWidth="1" min="3" max="3"/>
    <col width="7" customWidth="1" min="4" max="4"/>
    <col width="13" customWidth="1" min="5" max="5"/>
    <col width="13" customWidth="1" min="6" max="6"/>
    <col width="10" customWidth="1" min="7" max="7"/>
    <col width="42" customWidth="1" min="8" max="8"/>
  </cols>
  <sheetData>
    <row r="1">
      <c r="A1" s="13" t="inlineStr">
        <is>
          <t>Справочник территорий · 31 объект реестра + Sphere Park</t>
        </is>
      </c>
    </row>
    <row r="2">
      <c r="A2" s="14" t="inlineStr">
        <is>
          <t>Группы: A — обслуживает BI Green · B — переданы 29.07–03.08.2026 · C — не обслуживаются · D — переданы городу. Площадь реестра — зелёные насаждения; общая = озеленение × коэффициент (лист «Нормативы»).</t>
        </is>
      </c>
    </row>
    <row r="3">
      <c r="A3" s="15" t="inlineStr">
        <is>
          <t>№</t>
        </is>
      </c>
      <c r="B3" s="15" t="inlineStr">
        <is>
          <t>Территория</t>
        </is>
      </c>
      <c r="C3" s="15" t="inlineStr">
        <is>
          <t>Группа</t>
        </is>
      </c>
      <c r="D3" s="15" t="inlineStr">
        <is>
          <t>Тип</t>
        </is>
      </c>
      <c r="E3" s="15" t="inlineStr">
        <is>
          <t>Озеленение, м²</t>
        </is>
      </c>
      <c r="F3" s="15" t="inlineStr">
        <is>
          <t>Общая, м²</t>
        </is>
      </c>
      <c r="G3" s="15" t="inlineStr">
        <is>
          <t>Шорт-лист</t>
        </is>
      </c>
      <c r="H3" s="15" t="inlineStr">
        <is>
          <t>Статус / примечание</t>
        </is>
      </c>
    </row>
    <row r="4">
      <c r="A4" s="16" t="n">
        <v>1</v>
      </c>
      <c r="B4" s="16" t="inlineStr">
        <is>
          <t>ул. Амман</t>
        </is>
      </c>
      <c r="C4" s="16" t="inlineStr">
        <is>
          <t>A</t>
        </is>
      </c>
      <c r="D4" s="16" t="inlineStr">
        <is>
          <t>Т2</t>
        </is>
      </c>
      <c r="E4" s="17" t="n">
        <v>2500</v>
      </c>
      <c r="F4" s="18">
        <f>E4*Нормативы!$C$17</f>
        <v/>
      </c>
      <c r="G4" s="19" t="inlineStr">
        <is>
          <t>—</t>
        </is>
      </c>
      <c r="H4" s="16" t="inlineStr">
        <is>
          <t>не передан, обслуживает BI Green</t>
        </is>
      </c>
    </row>
    <row r="5">
      <c r="A5" s="16" t="n">
        <v>2</v>
      </c>
      <c r="B5" s="20" t="inlineStr">
        <is>
          <t>Сквер Авеню 5</t>
        </is>
      </c>
      <c r="C5" s="16" t="inlineStr">
        <is>
          <t>A</t>
        </is>
      </c>
      <c r="D5" s="16" t="inlineStr">
        <is>
          <t>Т3</t>
        </is>
      </c>
      <c r="E5" s="17" t="n">
        <v>1700</v>
      </c>
      <c r="F5" s="18">
        <f>E5*Нормативы!$C$17</f>
        <v/>
      </c>
      <c r="G5" s="21" t="inlineStr">
        <is>
          <t>Пилот</t>
        </is>
      </c>
      <c r="H5" s="16" t="inlineStr">
        <is>
          <t>не передан, обслуживает BI Green</t>
        </is>
      </c>
    </row>
    <row r="6">
      <c r="A6" s="16" t="n">
        <v>3</v>
      </c>
      <c r="B6" s="16" t="inlineStr">
        <is>
          <t>Аллея Атлант вдоль Сарайшик</t>
        </is>
      </c>
      <c r="C6" s="16" t="inlineStr">
        <is>
          <t>A</t>
        </is>
      </c>
      <c r="D6" s="16" t="inlineStr">
        <is>
          <t>Т2</t>
        </is>
      </c>
      <c r="E6" s="17" t="n">
        <v>1600</v>
      </c>
      <c r="F6" s="18">
        <f>E6*Нормативы!$C$17</f>
        <v/>
      </c>
      <c r="G6" s="19" t="inlineStr">
        <is>
          <t>—</t>
        </is>
      </c>
      <c r="H6" s="16" t="inlineStr">
        <is>
          <t>не передан, обслуживает BI Green</t>
        </is>
      </c>
    </row>
    <row r="7">
      <c r="A7" s="16" t="n">
        <v>4</v>
      </c>
      <c r="B7" s="16" t="inlineStr">
        <is>
          <t>Аллея Nexpo Классик</t>
        </is>
      </c>
      <c r="C7" s="16" t="inlineStr">
        <is>
          <t>A</t>
        </is>
      </c>
      <c r="D7" s="16" t="inlineStr">
        <is>
          <t>Т2</t>
        </is>
      </c>
      <c r="E7" s="17" t="n">
        <v>6200</v>
      </c>
      <c r="F7" s="18">
        <f>E7*Нормативы!$C$17</f>
        <v/>
      </c>
      <c r="G7" s="22" t="inlineStr">
        <is>
          <t>Да</t>
        </is>
      </c>
      <c r="H7" s="16" t="inlineStr">
        <is>
          <t>не передан, обслуживает BI Green</t>
        </is>
      </c>
    </row>
    <row r="8">
      <c r="A8" s="16" t="n">
        <v>5</v>
      </c>
      <c r="B8" s="16" t="inlineStr">
        <is>
          <t>Аура Аллея</t>
        </is>
      </c>
      <c r="C8" s="16" t="inlineStr">
        <is>
          <t>A</t>
        </is>
      </c>
      <c r="D8" s="16" t="inlineStr">
        <is>
          <t>Т1</t>
        </is>
      </c>
      <c r="E8" s="17" t="n">
        <v>800</v>
      </c>
      <c r="F8" s="18">
        <f>E8*Нормативы!$C$17</f>
        <v/>
      </c>
      <c r="G8" s="22" t="inlineStr">
        <is>
          <t>Да</t>
        </is>
      </c>
      <c r="H8" s="16" t="inlineStr">
        <is>
          <t>не передан, обслуживает BI Green</t>
        </is>
      </c>
    </row>
    <row r="9">
      <c r="A9" s="16" t="n">
        <v>6</v>
      </c>
      <c r="B9" s="20" t="inlineStr">
        <is>
          <t>Аллея Хедлайнер Эксклюзив</t>
        </is>
      </c>
      <c r="C9" s="16" t="inlineStr">
        <is>
          <t>A</t>
        </is>
      </c>
      <c r="D9" s="16" t="inlineStr">
        <is>
          <t>Т2</t>
        </is>
      </c>
      <c r="E9" s="17" t="n">
        <v>4000</v>
      </c>
      <c r="F9" s="18">
        <f>E9*Нормативы!$C$17</f>
        <v/>
      </c>
      <c r="G9" s="21" t="inlineStr">
        <is>
          <t>Пилот</t>
        </is>
      </c>
      <c r="H9" s="16" t="inlineStr">
        <is>
          <t>не передан, обслуживает BI Green</t>
        </is>
      </c>
    </row>
    <row r="10">
      <c r="A10" s="16" t="n">
        <v>7</v>
      </c>
      <c r="B10" s="16" t="inlineStr">
        <is>
          <t>Аллея Гранд Туран Комфорт</t>
        </is>
      </c>
      <c r="C10" s="16" t="inlineStr">
        <is>
          <t>A</t>
        </is>
      </c>
      <c r="D10" s="16" t="inlineStr">
        <is>
          <t>Т2</t>
        </is>
      </c>
      <c r="E10" s="17" t="n">
        <v>2300</v>
      </c>
      <c r="F10" s="18">
        <f>E10*Нормативы!$C$17</f>
        <v/>
      </c>
      <c r="G10" s="22" t="inlineStr">
        <is>
          <t>Да</t>
        </is>
      </c>
      <c r="H10" s="16" t="inlineStr">
        <is>
          <t>не передан, обслуживает BI Green</t>
        </is>
      </c>
    </row>
    <row r="11">
      <c r="A11" s="16" t="n">
        <v>8</v>
      </c>
      <c r="B11" s="20" t="inlineStr">
        <is>
          <t>Аллея ЖК Flora 1</t>
        </is>
      </c>
      <c r="C11" s="16" t="inlineStr">
        <is>
          <t>A</t>
        </is>
      </c>
      <c r="D11" s="16" t="inlineStr">
        <is>
          <t>Т1</t>
        </is>
      </c>
      <c r="E11" s="17" t="n">
        <v>338</v>
      </c>
      <c r="F11" s="18">
        <f>E11*Нормативы!$C$17</f>
        <v/>
      </c>
      <c r="G11" s="21" t="inlineStr">
        <is>
          <t>Пилот</t>
        </is>
      </c>
      <c r="H11" s="16" t="inlineStr">
        <is>
          <t>не передан, обслуживает BI Green</t>
        </is>
      </c>
    </row>
    <row r="12">
      <c r="A12" s="16" t="n">
        <v>9</v>
      </c>
      <c r="B12" s="20" t="inlineStr">
        <is>
          <t>Аллея ЖК Flora 2</t>
        </is>
      </c>
      <c r="C12" s="16" t="inlineStr">
        <is>
          <t>A</t>
        </is>
      </c>
      <c r="D12" s="16" t="inlineStr">
        <is>
          <t>Т1</t>
        </is>
      </c>
      <c r="E12" s="17" t="n">
        <v>338</v>
      </c>
      <c r="F12" s="18">
        <f>E12*Нормативы!$C$17</f>
        <v/>
      </c>
      <c r="G12" s="21" t="inlineStr">
        <is>
          <t>Пилот</t>
        </is>
      </c>
      <c r="H12" s="16" t="inlineStr">
        <is>
          <t>не передан, обслуживает BI Green</t>
        </is>
      </c>
    </row>
    <row r="13">
      <c r="A13" s="16" t="n">
        <v>10</v>
      </c>
      <c r="B13" s="16" t="inlineStr">
        <is>
          <t>Плейхаб Аква 1</t>
        </is>
      </c>
      <c r="C13" s="16" t="inlineStr">
        <is>
          <t>A</t>
        </is>
      </c>
      <c r="D13" s="16" t="inlineStr">
        <is>
          <t>Т2</t>
        </is>
      </c>
      <c r="E13" s="17" t="n">
        <v>2385</v>
      </c>
      <c r="F13" s="18">
        <f>E13*Нормативы!$C$17</f>
        <v/>
      </c>
      <c r="G13" s="22" t="inlineStr">
        <is>
          <t>Да</t>
        </is>
      </c>
      <c r="H13" s="16" t="inlineStr">
        <is>
          <t>не передан, обслуживает BI Green; плейхаб, в шорт-листе как активная</t>
        </is>
      </c>
    </row>
    <row r="14">
      <c r="A14" s="16" t="n">
        <v>11</v>
      </c>
      <c r="B14" s="16" t="inlineStr">
        <is>
          <t>Аллея Хедлайнер</t>
        </is>
      </c>
      <c r="C14" s="16" t="inlineStr">
        <is>
          <t>B</t>
        </is>
      </c>
      <c r="D14" s="16" t="inlineStr">
        <is>
          <t>Т2</t>
        </is>
      </c>
      <c r="E14" s="17" t="n">
        <v>6800</v>
      </c>
      <c r="F14" s="18">
        <f>E14*Нормативы!$C$17</f>
        <v/>
      </c>
      <c r="G14" s="19" t="inlineStr">
        <is>
          <t>—</t>
        </is>
      </c>
      <c r="H14" s="16" t="inlineStr">
        <is>
          <t>передан 29.07.2026</t>
        </is>
      </c>
    </row>
    <row r="15">
      <c r="A15" s="16" t="n">
        <v>12</v>
      </c>
      <c r="B15" s="16" t="inlineStr">
        <is>
          <t>Ремарк</t>
        </is>
      </c>
      <c r="C15" s="16" t="inlineStr">
        <is>
          <t>B</t>
        </is>
      </c>
      <c r="D15" s="16" t="inlineStr">
        <is>
          <t>Т2</t>
        </is>
      </c>
      <c r="E15" s="17" t="n">
        <v>2930</v>
      </c>
      <c r="F15" s="18">
        <f>E15*Нормативы!$C$17</f>
        <v/>
      </c>
      <c r="G15" s="19" t="inlineStr">
        <is>
          <t>—</t>
        </is>
      </c>
      <c r="H15" s="16" t="inlineStr">
        <is>
          <t>передан 03.08.2026</t>
        </is>
      </c>
    </row>
    <row r="16">
      <c r="A16" s="16" t="n">
        <v>13</v>
      </c>
      <c r="B16" s="16" t="inlineStr">
        <is>
          <t>Аллея Capital Park</t>
        </is>
      </c>
      <c r="C16" s="16" t="inlineStr">
        <is>
          <t>B</t>
        </is>
      </c>
      <c r="D16" s="16" t="inlineStr">
        <is>
          <t>Т2</t>
        </is>
      </c>
      <c r="E16" s="17" t="n">
        <v>3650</v>
      </c>
      <c r="F16" s="18">
        <f>E16*Нормативы!$C$17</f>
        <v/>
      </c>
      <c r="G16" s="19" t="inlineStr">
        <is>
          <t>—</t>
        </is>
      </c>
      <c r="H16" s="16" t="inlineStr">
        <is>
          <t>передан 03.08.2026, придомовая</t>
        </is>
      </c>
    </row>
    <row r="17">
      <c r="A17" s="16" t="n">
        <v>14</v>
      </c>
      <c r="B17" s="16" t="inlineStr">
        <is>
          <t>Аллея Nura Esil 1, 2</t>
        </is>
      </c>
      <c r="C17" s="16" t="inlineStr">
        <is>
          <t>B</t>
        </is>
      </c>
      <c r="D17" s="16" t="inlineStr">
        <is>
          <t>Т2</t>
        </is>
      </c>
      <c r="E17" s="17" t="n">
        <v>1680</v>
      </c>
      <c r="F17" s="18">
        <f>E17*Нормативы!$C$17</f>
        <v/>
      </c>
      <c r="G17" s="19" t="inlineStr">
        <is>
          <t>—</t>
        </is>
      </c>
      <c r="H17" s="16" t="inlineStr">
        <is>
          <t>передан 03.08.2026, есть спортплощадка</t>
        </is>
      </c>
    </row>
    <row r="18">
      <c r="A18" s="16" t="n">
        <v>15</v>
      </c>
      <c r="B18" s="16" t="inlineStr">
        <is>
          <t>Аллея Nura Esil 4</t>
        </is>
      </c>
      <c r="C18" s="16" t="inlineStr">
        <is>
          <t>B</t>
        </is>
      </c>
      <c r="D18" s="16" t="inlineStr">
        <is>
          <t>Т2</t>
        </is>
      </c>
      <c r="E18" s="17" t="n">
        <v>1680</v>
      </c>
      <c r="F18" s="18">
        <f>E18*Нормативы!$C$17</f>
        <v/>
      </c>
      <c r="G18" s="19" t="inlineStr">
        <is>
          <t>—</t>
        </is>
      </c>
      <c r="H18" s="16" t="inlineStr">
        <is>
          <t>передан 03.08.2026</t>
        </is>
      </c>
    </row>
    <row r="19">
      <c r="A19" s="16" t="n">
        <v>16</v>
      </c>
      <c r="B19" s="16" t="inlineStr">
        <is>
          <t>Аллея Камал</t>
        </is>
      </c>
      <c r="C19" s="16" t="inlineStr">
        <is>
          <t>B</t>
        </is>
      </c>
      <c r="D19" s="16" t="inlineStr">
        <is>
          <t>Т2</t>
        </is>
      </c>
      <c r="E19" s="17" t="n">
        <v>3500</v>
      </c>
      <c r="F19" s="18">
        <f>E19*Нормативы!$C$17</f>
        <v/>
      </c>
      <c r="G19" s="19" t="inlineStr">
        <is>
          <t>—</t>
        </is>
      </c>
      <c r="H19" s="16" t="inlineStr">
        <is>
          <t>передан 03.08.2026</t>
        </is>
      </c>
    </row>
    <row r="20">
      <c r="A20" s="16" t="n">
        <v>17</v>
      </c>
      <c r="B20" s="16" t="inlineStr">
        <is>
          <t>Аллея Арнау</t>
        </is>
      </c>
      <c r="C20" s="16" t="inlineStr">
        <is>
          <t>B</t>
        </is>
      </c>
      <c r="D20" s="16" t="inlineStr">
        <is>
          <t>Т2</t>
        </is>
      </c>
      <c r="E20" s="17" t="n">
        <v>4000</v>
      </c>
      <c r="F20" s="18">
        <f>E20*Нормативы!$C$17</f>
        <v/>
      </c>
      <c r="G20" s="19" t="inlineStr">
        <is>
          <t>—</t>
        </is>
      </c>
      <c r="H20" s="16" t="inlineStr">
        <is>
          <t>передан 03.08.2026, аллея-парк</t>
        </is>
      </c>
    </row>
    <row r="21">
      <c r="A21" s="16" t="n">
        <v>18</v>
      </c>
      <c r="B21" s="16" t="inlineStr">
        <is>
          <t>Аллея Nexpo Юнион</t>
        </is>
      </c>
      <c r="C21" s="23" t="inlineStr">
        <is>
          <t>C</t>
        </is>
      </c>
      <c r="D21" s="16" t="inlineStr">
        <is>
          <t>Т2</t>
        </is>
      </c>
      <c r="E21" s="17" t="n">
        <v>2419</v>
      </c>
      <c r="F21" s="18">
        <f>E21*Нормативы!$C$17</f>
        <v/>
      </c>
      <c r="G21" s="22" t="inlineStr">
        <is>
          <t>Да</t>
        </is>
      </c>
      <c r="H21" s="16" t="inlineStr">
        <is>
          <t>не передан, не обслуживается</t>
        </is>
      </c>
    </row>
    <row r="22">
      <c r="A22" s="16" t="n">
        <v>19</v>
      </c>
      <c r="B22" s="16" t="inlineStr">
        <is>
          <t>Фридом — Зелёный Квартал</t>
        </is>
      </c>
      <c r="C22" s="23" t="inlineStr">
        <is>
          <t>C</t>
        </is>
      </c>
      <c r="D22" s="16" t="inlineStr">
        <is>
          <t>—</t>
        </is>
      </c>
      <c r="E22" s="17" t="n">
        <v>3600</v>
      </c>
      <c r="F22" s="18">
        <f>E22*Нормативы!$C$17</f>
        <v/>
      </c>
      <c r="G22" s="19" t="inlineStr">
        <is>
          <t>—</t>
        </is>
      </c>
      <c r="H22" s="16" t="inlineStr">
        <is>
          <t>парковка, вне типологии; уточнить юраудитом</t>
        </is>
      </c>
    </row>
    <row r="23">
      <c r="A23" s="16" t="n">
        <v>20</v>
      </c>
      <c r="B23" s="16" t="inlineStr">
        <is>
          <t>Де Люкс 4</t>
        </is>
      </c>
      <c r="C23" s="23" t="inlineStr">
        <is>
          <t>C</t>
        </is>
      </c>
      <c r="D23" s="16" t="inlineStr">
        <is>
          <t>Т2</t>
        </is>
      </c>
      <c r="E23" s="17" t="n">
        <v>4200</v>
      </c>
      <c r="F23" s="18">
        <f>E23*Нормативы!$C$17</f>
        <v/>
      </c>
      <c r="G23" s="19" t="inlineStr">
        <is>
          <t>—</t>
        </is>
      </c>
      <c r="H23" s="16" t="inlineStr">
        <is>
          <t>не передан, не обслуживается</t>
        </is>
      </c>
    </row>
    <row r="24">
      <c r="A24" s="16" t="n">
        <v>21</v>
      </c>
      <c r="B24" s="16" t="inlineStr">
        <is>
          <t>Насаждения ЖК Айтыс</t>
        </is>
      </c>
      <c r="C24" s="23" t="inlineStr">
        <is>
          <t>C</t>
        </is>
      </c>
      <c r="D24" s="16" t="inlineStr">
        <is>
          <t>Т1</t>
        </is>
      </c>
      <c r="E24" s="17" t="n">
        <v>300</v>
      </c>
      <c r="F24" s="18">
        <f>E24*Нормативы!$C$17</f>
        <v/>
      </c>
      <c r="G24" s="19" t="inlineStr">
        <is>
          <t>—</t>
        </is>
      </c>
      <c r="H24" s="16" t="inlineStr">
        <is>
          <t>не передан, не обслуживается, придомовая</t>
        </is>
      </c>
    </row>
    <row r="25">
      <c r="A25" s="16" t="n">
        <v>22</v>
      </c>
      <c r="B25" s="16" t="inlineStr">
        <is>
          <t>Парк Авеню Эксклюзив</t>
        </is>
      </c>
      <c r="C25" s="23" t="inlineStr">
        <is>
          <t>C</t>
        </is>
      </c>
      <c r="D25" s="16" t="inlineStr">
        <is>
          <t>Т1</t>
        </is>
      </c>
      <c r="E25" s="17" t="n">
        <v>680</v>
      </c>
      <c r="F25" s="18">
        <f>E25*Нормативы!$C$17</f>
        <v/>
      </c>
      <c r="G25" s="19" t="inlineStr">
        <is>
          <t>—</t>
        </is>
      </c>
      <c r="H25" s="16" t="inlineStr">
        <is>
          <t>не передан, не обслуживается</t>
        </is>
      </c>
    </row>
    <row r="26">
      <c r="A26" s="16" t="n">
        <v>23</v>
      </c>
      <c r="B26" s="16" t="inlineStr">
        <is>
          <t>Аллея Онли Мун</t>
        </is>
      </c>
      <c r="C26" s="23" t="inlineStr">
        <is>
          <t>C</t>
        </is>
      </c>
      <c r="D26" s="16" t="inlineStr">
        <is>
          <t>Т1</t>
        </is>
      </c>
      <c r="E26" s="17" t="n">
        <v>600</v>
      </c>
      <c r="F26" s="18">
        <f>E26*Нормативы!$C$17</f>
        <v/>
      </c>
      <c r="G26" s="19" t="inlineStr">
        <is>
          <t>—</t>
        </is>
      </c>
      <c r="H26" s="16" t="inlineStr">
        <is>
          <t>не передан, не обслуживается</t>
        </is>
      </c>
    </row>
    <row r="27">
      <c r="A27" s="16" t="n">
        <v>24</v>
      </c>
      <c r="B27" s="16" t="inlineStr">
        <is>
          <t>Аллея Сердце Столицы 1, 2</t>
        </is>
      </c>
      <c r="C27" s="23" t="inlineStr">
        <is>
          <t>C</t>
        </is>
      </c>
      <c r="D27" s="16" t="inlineStr">
        <is>
          <t>Т2</t>
        </is>
      </c>
      <c r="E27" s="17" t="n">
        <v>1300</v>
      </c>
      <c r="F27" s="18">
        <f>E27*Нормативы!$C$17</f>
        <v/>
      </c>
      <c r="G27" s="19" t="inlineStr">
        <is>
          <t>—</t>
        </is>
      </c>
      <c r="H27" s="16" t="inlineStr">
        <is>
          <t>не передан, не обслуживается, придомовая</t>
        </is>
      </c>
    </row>
    <row r="28">
      <c r="A28" s="16" t="n">
        <v>25</v>
      </c>
      <c r="B28" s="16" t="inlineStr">
        <is>
          <t>Атлант Аллея</t>
        </is>
      </c>
      <c r="C28" s="16" t="inlineStr">
        <is>
          <t>D</t>
        </is>
      </c>
      <c r="D28" s="16" t="inlineStr">
        <is>
          <t>Т2</t>
        </is>
      </c>
      <c r="E28" s="17" t="n">
        <v>1120</v>
      </c>
      <c r="F28" s="18">
        <f>E28*Нормативы!$C$17</f>
        <v/>
      </c>
      <c r="G28" s="19" t="inlineStr">
        <is>
          <t>—</t>
        </is>
      </c>
      <c r="H28" s="16" t="inlineStr">
        <is>
          <t>передан городу</t>
        </is>
      </c>
    </row>
    <row r="29">
      <c r="A29" s="16" t="n">
        <v>26</v>
      </c>
      <c r="B29" s="16" t="inlineStr">
        <is>
          <t>Аллея Премьера</t>
        </is>
      </c>
      <c r="C29" s="16" t="inlineStr">
        <is>
          <t>D</t>
        </is>
      </c>
      <c r="D29" s="16" t="inlineStr">
        <is>
          <t>Т2</t>
        </is>
      </c>
      <c r="E29" s="17" t="n">
        <v>3900</v>
      </c>
      <c r="F29" s="18">
        <f>E29*Нормативы!$C$17</f>
        <v/>
      </c>
      <c r="G29" s="19" t="inlineStr">
        <is>
          <t>—</t>
        </is>
      </c>
      <c r="H29" s="16" t="inlineStr">
        <is>
          <t>передан городу</t>
        </is>
      </c>
    </row>
    <row r="30">
      <c r="A30" s="16" t="n">
        <v>27</v>
      </c>
      <c r="B30" s="16" t="inlineStr">
        <is>
          <t>Аллея Nexpo Сити</t>
        </is>
      </c>
      <c r="C30" s="16" t="inlineStr">
        <is>
          <t>D</t>
        </is>
      </c>
      <c r="D30" s="16" t="inlineStr">
        <is>
          <t>Т2</t>
        </is>
      </c>
      <c r="E30" s="17" t="n">
        <v>2900</v>
      </c>
      <c r="F30" s="18">
        <f>E30*Нормативы!$C$17</f>
        <v/>
      </c>
      <c r="G30" s="19" t="inlineStr">
        <is>
          <t>—</t>
        </is>
      </c>
      <c r="H30" s="16" t="inlineStr">
        <is>
          <t>передан городу</t>
        </is>
      </c>
    </row>
    <row r="31">
      <c r="A31" s="16" t="n">
        <v>28</v>
      </c>
      <c r="B31" s="16" t="inlineStr">
        <is>
          <t>Парк и зелёная зона ЗК</t>
        </is>
      </c>
      <c r="C31" s="16" t="inlineStr">
        <is>
          <t>D</t>
        </is>
      </c>
      <c r="D31" s="16" t="inlineStr">
        <is>
          <t>Т3</t>
        </is>
      </c>
      <c r="E31" s="17" t="n">
        <v>17000</v>
      </c>
      <c r="F31" s="18">
        <f>E31*Нормативы!$C$17</f>
        <v/>
      </c>
      <c r="G31" s="19" t="inlineStr">
        <is>
          <t>—</t>
        </is>
      </c>
      <c r="H31" s="16" t="inlineStr">
        <is>
          <t>передан городу, кандидат на ГЧП</t>
        </is>
      </c>
    </row>
    <row r="32">
      <c r="A32" s="16" t="n">
        <v>29</v>
      </c>
      <c r="B32" s="16" t="inlineStr">
        <is>
          <t>Плэй Хаб Сезым Кала</t>
        </is>
      </c>
      <c r="C32" s="16" t="inlineStr">
        <is>
          <t>D</t>
        </is>
      </c>
      <c r="D32" s="16" t="inlineStr">
        <is>
          <t>Т3</t>
        </is>
      </c>
      <c r="E32" s="17" t="n">
        <v>3100</v>
      </c>
      <c r="F32" s="18">
        <f>E32*Нормативы!$C$17</f>
        <v/>
      </c>
      <c r="G32" s="19" t="inlineStr">
        <is>
          <t>—</t>
        </is>
      </c>
      <c r="H32" s="16" t="inlineStr">
        <is>
          <t>передан городу</t>
        </is>
      </c>
    </row>
    <row r="33">
      <c r="A33" s="16" t="n">
        <v>30</v>
      </c>
      <c r="B33" s="16" t="inlineStr">
        <is>
          <t>Аллея Поколение, Инфинити</t>
        </is>
      </c>
      <c r="C33" s="16" t="inlineStr">
        <is>
          <t>D</t>
        </is>
      </c>
      <c r="D33" s="16" t="inlineStr">
        <is>
          <t>Т2</t>
        </is>
      </c>
      <c r="E33" s="17" t="n">
        <v>5500</v>
      </c>
      <c r="F33" s="18">
        <f>E33*Нормативы!$C$17</f>
        <v/>
      </c>
      <c r="G33" s="19" t="inlineStr">
        <is>
          <t>—</t>
        </is>
      </c>
      <c r="H33" s="16" t="inlineStr">
        <is>
          <t>передан городу</t>
        </is>
      </c>
    </row>
    <row r="34">
      <c r="A34" s="16" t="n">
        <v>31</v>
      </c>
      <c r="B34" s="16" t="inlineStr">
        <is>
          <t>Аллея Асыл Мура</t>
        </is>
      </c>
      <c r="C34" s="16" t="inlineStr">
        <is>
          <t>D</t>
        </is>
      </c>
      <c r="D34" s="16" t="inlineStr">
        <is>
          <t>Т2</t>
        </is>
      </c>
      <c r="E34" s="17" t="n">
        <v>1100</v>
      </c>
      <c r="F34" s="18">
        <f>E34*Нормативы!$C$17</f>
        <v/>
      </c>
      <c r="G34" s="19" t="inlineStr">
        <is>
          <t>—</t>
        </is>
      </c>
      <c r="H34" s="16" t="inlineStr">
        <is>
          <t>передан городу</t>
        </is>
      </c>
    </row>
    <row r="35">
      <c r="A35" s="16" t="n">
        <v>32</v>
      </c>
      <c r="B35" s="16" t="inlineStr">
        <is>
          <t>Sphere Park</t>
        </is>
      </c>
      <c r="C35" s="16" t="inlineStr">
        <is>
          <t>ГЧП</t>
        </is>
      </c>
      <c r="D35" s="16" t="inlineStr">
        <is>
          <t>Т4</t>
        </is>
      </c>
      <c r="E35" s="17" t="n">
        <v>70000</v>
      </c>
      <c r="F35" s="24" t="n">
        <v>90000</v>
      </c>
      <c r="G35" s="19" t="inlineStr">
        <is>
          <t>—</t>
        </is>
      </c>
      <c r="H35" s="16" t="inlineStr">
        <is>
          <t>проект ГЧП (BTO): парк 7 га + озеро 2 га у школы BINOM</t>
        </is>
      </c>
    </row>
    <row r="36">
      <c r="A36" s="16" t="n">
        <v>33</v>
      </c>
      <c r="B36" s="20" t="inlineStr">
        <is>
          <t>Аллеи ЖК Flora 1 + 2 (кластер)</t>
        </is>
      </c>
      <c r="C36" s="16" t="inlineStr">
        <is>
          <t>A</t>
        </is>
      </c>
      <c r="D36" s="16" t="inlineStr">
        <is>
          <t>Т1</t>
        </is>
      </c>
      <c r="E36" s="17" t="n">
        <v>676</v>
      </c>
      <c r="F36" s="18">
        <f>E36*Нормативы!$C$17</f>
        <v/>
      </c>
      <c r="G36" s="21" t="inlineStr">
        <is>
          <t>Пилот</t>
        </is>
      </c>
      <c r="H36" s="16" t="inlineStr">
        <is>
          <t>пилот Т1: два объекта под одной командой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3" customWidth="1" min="1" max="1"/>
    <col width="20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</cols>
  <sheetData>
    <row r="1">
      <c r="A1" s="13" t="inlineStr">
        <is>
          <t>Справочник нормативов · расходная часть</t>
        </is>
      </c>
    </row>
    <row r="2">
      <c r="A2" s="14" t="inlineStr">
        <is>
          <t>Жёлтые ячейки — редактируемые ставки. Меняете норматив здесь — расходная часть всех моделей пересчитывается. Заменить фактами BI Green.</t>
        </is>
      </c>
    </row>
    <row r="4">
      <c r="A4" s="25" t="inlineStr">
        <is>
          <t>Показатель</t>
        </is>
      </c>
      <c r="B4" s="25" t="inlineStr">
        <is>
          <t>Ед. изм.</t>
        </is>
      </c>
      <c r="C4" s="25" t="inlineStr">
        <is>
          <t>Т1 мин</t>
        </is>
      </c>
      <c r="D4" s="25" t="inlineStr">
        <is>
          <t>Т1 макс</t>
        </is>
      </c>
      <c r="E4" s="25" t="inlineStr">
        <is>
          <t>Т2 мин</t>
        </is>
      </c>
      <c r="F4" s="25" t="inlineStr">
        <is>
          <t>Т2 макс</t>
        </is>
      </c>
      <c r="G4" s="25" t="inlineStr">
        <is>
          <t>Т3 мин</t>
        </is>
      </c>
      <c r="H4" s="25" t="inlineStr">
        <is>
          <t>Т3 макс</t>
        </is>
      </c>
      <c r="I4" s="25" t="inlineStr">
        <is>
          <t>Т4 мин</t>
        </is>
      </c>
      <c r="J4" s="25" t="inlineStr">
        <is>
          <t>Т4 макс</t>
        </is>
      </c>
    </row>
    <row r="5">
      <c r="A5" s="6" t="inlineStr">
        <is>
          <t>Уборка и снегоуборка</t>
        </is>
      </c>
      <c r="B5" s="26" t="inlineStr">
        <is>
          <t>тг/м² общей пл. в месяц</t>
        </is>
      </c>
      <c r="C5" s="27" t="n">
        <v>60</v>
      </c>
      <c r="D5" s="27" t="n">
        <v>90</v>
      </c>
      <c r="E5" s="27" t="n">
        <v>30</v>
      </c>
      <c r="F5" s="27" t="n">
        <v>55</v>
      </c>
      <c r="G5" s="27" t="n">
        <v>60</v>
      </c>
      <c r="H5" s="27" t="n">
        <v>100</v>
      </c>
      <c r="I5" s="27" t="n">
        <v>30</v>
      </c>
      <c r="J5" s="27" t="n">
        <v>60</v>
      </c>
    </row>
    <row r="6">
      <c r="A6" s="6" t="inlineStr">
        <is>
          <t>Озеленение и полив (апр–окт)</t>
        </is>
      </c>
      <c r="B6" s="26" t="inlineStr">
        <is>
          <t>тг/м² озеленения в месяц</t>
        </is>
      </c>
      <c r="C6" s="27" t="n">
        <v>90</v>
      </c>
      <c r="D6" s="27" t="n">
        <v>160</v>
      </c>
      <c r="E6" s="27" t="n">
        <v>40</v>
      </c>
      <c r="F6" s="27" t="n">
        <v>70</v>
      </c>
      <c r="G6" s="27" t="n">
        <v>55</v>
      </c>
      <c r="H6" s="27" t="n">
        <v>90</v>
      </c>
      <c r="I6" s="27" t="n">
        <v>30</v>
      </c>
      <c r="J6" s="27" t="n">
        <v>60</v>
      </c>
    </row>
    <row r="7">
      <c r="A7" s="6" t="inlineStr">
        <is>
          <t>Свет, электро, digital</t>
        </is>
      </c>
      <c r="B7" s="26" t="inlineStr">
        <is>
          <t>тг/м² общей пл. в год</t>
        </is>
      </c>
      <c r="C7" s="27" t="n">
        <v>155</v>
      </c>
      <c r="D7" s="27" t="n">
        <v>250</v>
      </c>
      <c r="E7" s="27" t="n">
        <v>65</v>
      </c>
      <c r="F7" s="27" t="n">
        <v>115</v>
      </c>
      <c r="G7" s="27" t="n">
        <v>190</v>
      </c>
      <c r="H7" s="27" t="n">
        <v>315</v>
      </c>
      <c r="I7" s="27" t="n">
        <v>80</v>
      </c>
      <c r="J7" s="27" t="n">
        <v>150</v>
      </c>
    </row>
    <row r="8">
      <c r="A8" s="6" t="inlineStr">
        <is>
          <t>Доля ставки координатора</t>
        </is>
      </c>
      <c r="B8" s="26" t="inlineStr">
        <is>
          <t>доля ставки</t>
        </is>
      </c>
      <c r="C8" s="28" t="n">
        <v>0.2</v>
      </c>
      <c r="D8" s="28" t="n">
        <v>0.2</v>
      </c>
      <c r="E8" s="28" t="n">
        <v>0.33</v>
      </c>
      <c r="F8" s="28" t="n">
        <v>0.33</v>
      </c>
      <c r="G8" s="28" t="n">
        <v>0.6</v>
      </c>
      <c r="H8" s="28" t="n">
        <v>0.6</v>
      </c>
      <c r="I8" s="28" t="n">
        <v>0</v>
      </c>
      <c r="J8" s="28" t="n">
        <v>0</v>
      </c>
    </row>
    <row r="9">
      <c r="A9" s="6" t="inlineStr">
        <is>
          <t>Число событий в год</t>
        </is>
      </c>
      <c r="B9" s="26" t="inlineStr">
        <is>
          <t>шт</t>
        </is>
      </c>
      <c r="C9" s="27" t="n">
        <v>0</v>
      </c>
      <c r="D9" s="27" t="n">
        <v>0</v>
      </c>
      <c r="E9" s="27" t="n">
        <v>20</v>
      </c>
      <c r="F9" s="27" t="n">
        <v>30</v>
      </c>
      <c r="G9" s="27" t="n">
        <v>30</v>
      </c>
      <c r="H9" s="27" t="n">
        <v>45</v>
      </c>
      <c r="I9" s="27" t="n">
        <v>40</v>
      </c>
      <c r="J9" s="27" t="n">
        <v>60</v>
      </c>
    </row>
    <row r="10">
      <c r="A10" s="6" t="inlineStr">
        <is>
          <t>Зимний пакет (каток, горка, свет)</t>
        </is>
      </c>
      <c r="B10" s="26" t="inlineStr">
        <is>
          <t>млн тг/год</t>
        </is>
      </c>
      <c r="C10" s="27" t="n">
        <v>0</v>
      </c>
      <c r="D10" s="27" t="n">
        <v>0</v>
      </c>
      <c r="E10" s="27" t="n">
        <v>0</v>
      </c>
      <c r="F10" s="27" t="n">
        <v>0</v>
      </c>
      <c r="G10" s="29" t="n">
        <v>2.5</v>
      </c>
      <c r="H10" s="29" t="n">
        <v>4.5</v>
      </c>
      <c r="I10" s="27" t="n">
        <v>6</v>
      </c>
      <c r="J10" s="27" t="n">
        <v>12</v>
      </c>
    </row>
    <row r="11">
      <c r="A11" s="6" t="inlineStr">
        <is>
          <t>Персонал парка (только Т4)</t>
        </is>
      </c>
      <c r="B11" s="26" t="inlineStr">
        <is>
          <t>млн тг/год</t>
        </is>
      </c>
      <c r="C11" s="27" t="n">
        <v>0</v>
      </c>
      <c r="D11" s="27" t="n">
        <v>0</v>
      </c>
      <c r="E11" s="27" t="n">
        <v>0</v>
      </c>
      <c r="F11" s="27" t="n">
        <v>0</v>
      </c>
      <c r="G11" s="27" t="n">
        <v>0</v>
      </c>
      <c r="H11" s="27" t="n">
        <v>0</v>
      </c>
      <c r="I11" s="27" t="n">
        <v>8</v>
      </c>
      <c r="J11" s="27" t="n">
        <v>14</v>
      </c>
    </row>
    <row r="13">
      <c r="A13" s="30" t="inlineStr">
        <is>
          <t>ОБЩИЕ НОРМАТИВЫ (мин / макс)</t>
        </is>
      </c>
    </row>
    <row r="14">
      <c r="A14" s="6" t="inlineStr">
        <is>
          <t>Ставка координатора кластера</t>
        </is>
      </c>
      <c r="B14" s="26" t="inlineStr">
        <is>
          <t>тыс тг/мес</t>
        </is>
      </c>
      <c r="C14" s="27" t="n">
        <v>300</v>
      </c>
      <c r="D14" s="27" t="n">
        <v>420</v>
      </c>
      <c r="E14" s="31" t="n"/>
      <c r="F14" s="31" t="n"/>
      <c r="G14" s="31" t="n"/>
      <c r="H14" s="31" t="n"/>
      <c r="I14" s="31" t="n"/>
      <c r="J14" s="31" t="n"/>
    </row>
    <row r="15">
      <c r="A15" s="6" t="inlineStr">
        <is>
          <t>Цена события с продвижением</t>
        </is>
      </c>
      <c r="B15" s="26" t="inlineStr">
        <is>
          <t>тыс тг</t>
        </is>
      </c>
      <c r="C15" s="27" t="n">
        <v>95</v>
      </c>
      <c r="D15" s="27" t="n">
        <v>130</v>
      </c>
      <c r="E15" s="31" t="n"/>
      <c r="F15" s="31" t="n"/>
      <c r="G15" s="31" t="n"/>
      <c r="H15" s="31" t="n"/>
      <c r="I15" s="31" t="n"/>
      <c r="J15" s="31" t="n"/>
    </row>
    <row r="16">
      <c r="A16" s="6" t="inlineStr">
        <is>
          <t>Ремфонд, доля от прочих статей OPEX</t>
        </is>
      </c>
      <c r="B16" s="26" t="inlineStr">
        <is>
          <t>доля</t>
        </is>
      </c>
      <c r="C16" s="32" t="n">
        <v>0.05</v>
      </c>
      <c r="D16" s="32" t="n">
        <v>0.07000000000000001</v>
      </c>
      <c r="E16" s="31" t="n"/>
      <c r="F16" s="31" t="n"/>
      <c r="G16" s="31" t="n"/>
      <c r="H16" s="31" t="n"/>
      <c r="I16" s="31" t="n"/>
      <c r="J16" s="31" t="n"/>
    </row>
    <row r="17">
      <c r="A17" s="6" t="inlineStr">
        <is>
          <t>Коэффициент: общая площадь / озеленение</t>
        </is>
      </c>
      <c r="B17" s="26" t="inlineStr">
        <is>
          <t>×</t>
        </is>
      </c>
      <c r="C17" s="33" t="n">
        <v>2</v>
      </c>
      <c r="D17" s="33" t="n">
        <v>2</v>
      </c>
      <c r="E17" s="31" t="n"/>
      <c r="F17" s="31" t="n"/>
      <c r="G17" s="31" t="n"/>
      <c r="H17" s="31" t="n"/>
      <c r="I17" s="31" t="n"/>
      <c r="J17" s="31" t="n"/>
    </row>
  </sheetData>
  <mergeCells count="3">
    <mergeCell ref="A1:J1"/>
    <mergeCell ref="A13:J13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4" customWidth="1" min="1" max="1"/>
    <col width="42" customWidth="1" min="2" max="2"/>
    <col width="15" customWidth="1" min="3" max="3"/>
    <col width="15" customWidth="1" min="4" max="4"/>
  </cols>
  <sheetData>
    <row r="1">
      <c r="A1" s="34" t="inlineStr">
        <is>
          <t>Финмодель Т1 · Транзитная аллея</t>
        </is>
      </c>
    </row>
    <row r="3">
      <c r="A3" s="35" t="inlineStr">
        <is>
          <t>Объект (выберите из списка):</t>
        </is>
      </c>
      <c r="B3" s="36" t="inlineStr">
        <is>
          <t>Аллеи ЖК Flora 1 + 2 (кластер)</t>
        </is>
      </c>
      <c r="C3" s="37" t="inlineStr">
        <is>
          <t>Озеленение, м²:</t>
        </is>
      </c>
      <c r="D3" s="38">
        <f>IFERROR(INDEX(Объекты!$E$4:$E$36,MATCH($B$3,Объекты!$B$4:$B$36,0)),0)</f>
        <v/>
      </c>
    </row>
    <row r="4">
      <c r="C4" s="37" t="inlineStr">
        <is>
          <t>Общая площадь, м²:</t>
        </is>
      </c>
      <c r="D4" s="38">
        <f>IFERROR(INDEX(Объекты!$F$4:$F$36,MATCH($B$3,Объекты!$B$4:$B$36,0)),0)</f>
        <v/>
      </c>
    </row>
    <row r="6">
      <c r="A6" s="4" t="inlineStr">
        <is>
          <t>Статья</t>
        </is>
      </c>
      <c r="B6" s="4" t="inlineStr">
        <is>
          <t>Как считаем / привязка</t>
        </is>
      </c>
      <c r="C6" s="5" t="inlineStr">
        <is>
          <t>Мин, млн тг/год</t>
        </is>
      </c>
      <c r="D6" s="5" t="inlineStr">
        <is>
          <t>Макс, млн тг/год</t>
        </is>
      </c>
    </row>
    <row r="7">
      <c r="A7" s="39" t="inlineStr">
        <is>
          <t>ДОХОДЫ (вилки: зависят от программы, не от площади)</t>
        </is>
      </c>
      <c r="B7" s="31" t="n"/>
      <c r="C7" s="31" t="n"/>
      <c r="D7" s="31" t="n"/>
    </row>
    <row r="8">
      <c r="A8" s="6" t="inlineStr">
        <is>
          <t>Вендинг, 1 автомат</t>
        </is>
      </c>
      <c r="B8" s="26" t="inlineStr">
        <is>
          <t>аренда точки 25–45 тыс тг/мес</t>
        </is>
      </c>
      <c r="C8" s="33" t="n">
        <v>0.3</v>
      </c>
      <c r="D8" s="33" t="n">
        <v>0.5</v>
      </c>
    </row>
    <row r="9">
      <c r="A9" s="6" t="inlineStr">
        <is>
          <t>Спонсорство «Усынови клумбу»</t>
        </is>
      </c>
      <c r="B9" s="26" t="inlineStr">
        <is>
          <t>3–5 спонсоров по 80–150 тыс тг/год</t>
        </is>
      </c>
      <c r="C9" s="33" t="n">
        <v>0.2</v>
      </c>
      <c r="D9" s="33" t="n">
        <v>0.6</v>
      </c>
    </row>
    <row r="10">
      <c r="A10" s="6" t="inlineStr">
        <is>
          <t>Реклама на навигации</t>
        </is>
      </c>
      <c r="B10" s="26" t="inlineStr">
        <is>
          <t>при подходящем юрстатусе земли</t>
        </is>
      </c>
      <c r="C10" s="33" t="n">
        <v>0</v>
      </c>
      <c r="D10" s="33" t="n">
        <v>0.4</v>
      </c>
    </row>
    <row r="11">
      <c r="A11" s="40" t="inlineStr">
        <is>
          <t>Доходы, итого</t>
        </is>
      </c>
      <c r="B11" s="41" t="n"/>
      <c r="C11" s="42">
        <f>SUM(C8:C10)</f>
        <v/>
      </c>
      <c r="D11" s="42">
        <f>SUM(D8:D10)</f>
        <v/>
      </c>
    </row>
    <row r="12">
      <c r="A12" s="39" t="inlineStr">
        <is>
          <t>РАСХОДЫ (OPEX): формулы «площадь × нормативы»</t>
        </is>
      </c>
      <c r="B12" s="31" t="n"/>
      <c r="C12" s="31" t="n"/>
      <c r="D12" s="31" t="n"/>
    </row>
    <row r="13">
      <c r="A13" s="6" t="inlineStr">
        <is>
          <t>Уборка и снегоуборка</t>
        </is>
      </c>
      <c r="B13" s="26" t="inlineStr">
        <is>
          <t>общая площадь × норматив × 12 мес</t>
        </is>
      </c>
      <c r="C13" s="43">
        <f>$D$4*Нормативы!C5*12/1000000</f>
        <v/>
      </c>
      <c r="D13" s="43">
        <f>$D$4*Нормативы!D5*12/1000000</f>
        <v/>
      </c>
    </row>
    <row r="14">
      <c r="A14" s="6" t="inlineStr">
        <is>
          <t>Озеленение и полив</t>
        </is>
      </c>
      <c r="B14" s="26" t="inlineStr">
        <is>
          <t>озеленение × норматив × 7 мес (апр–окт)</t>
        </is>
      </c>
      <c r="C14" s="43">
        <f>$D$3*Нормативы!C6*7/1000000</f>
        <v/>
      </c>
      <c r="D14" s="43">
        <f>$D$3*Нормативы!D6*7/1000000</f>
        <v/>
      </c>
    </row>
    <row r="15">
      <c r="A15" s="6" t="inlineStr">
        <is>
          <t>Свет, электро, digital</t>
        </is>
      </c>
      <c r="B15" s="26" t="inlineStr">
        <is>
          <t>общая площадь × годовой норматив</t>
        </is>
      </c>
      <c r="C15" s="43">
        <f>$D$4*Нормативы!C7/1000000</f>
        <v/>
      </c>
      <c r="D15" s="43">
        <f>$D$4*Нормативы!D7/1000000</f>
        <v/>
      </c>
    </row>
    <row r="16">
      <c r="A16" s="6" t="inlineStr">
        <is>
          <t>Координатор кластера</t>
        </is>
      </c>
      <c r="B16" s="26" t="inlineStr">
        <is>
          <t>ставка × доля × 12 мес</t>
        </is>
      </c>
      <c r="C16" s="43">
        <f>Нормативы!$C$14*Нормативы!C8*12/1000</f>
        <v/>
      </c>
      <c r="D16" s="43">
        <f>Нормативы!$D$14*Нормативы!D8*12/1000</f>
        <v/>
      </c>
    </row>
    <row r="17">
      <c r="A17" s="6" t="inlineStr">
        <is>
          <t>Ремфонд</t>
        </is>
      </c>
      <c r="B17" s="26" t="inlineStr">
        <is>
          <t>доля от прочих статей OPEX</t>
        </is>
      </c>
      <c r="C17" s="43">
        <f>Нормативы!$C$16*SUM(C13:C16)</f>
        <v/>
      </c>
      <c r="D17" s="43">
        <f>Нормативы!$D$16*SUM(D13:D16)</f>
        <v/>
      </c>
    </row>
    <row r="18">
      <c r="A18" s="44" t="inlineStr">
        <is>
          <t>OPEX, итого</t>
        </is>
      </c>
      <c r="B18" s="41" t="n"/>
      <c r="C18" s="45">
        <f>SUM(C13:C17)</f>
        <v/>
      </c>
      <c r="D18" s="45">
        <f>SUM(D13:D17)</f>
        <v/>
      </c>
    </row>
    <row r="20">
      <c r="A20" s="39" t="inlineStr">
        <is>
          <t>ПОКРЫТИЕ OPEX ДОХОДАМИ</t>
        </is>
      </c>
      <c r="B20" s="31" t="n"/>
      <c r="C20" s="31" t="n"/>
      <c r="D20" s="31" t="n"/>
    </row>
    <row r="21">
      <c r="A21" s="6" t="inlineStr">
        <is>
          <t>Консервативный сценарий</t>
        </is>
      </c>
      <c r="B21" s="26" t="inlineStr">
        <is>
          <t>низ доходов / верх расходов</t>
        </is>
      </c>
      <c r="C21" s="46">
        <f>IFERROR(C11/D18,0)</f>
        <v/>
      </c>
      <c r="D21" s="31" t="n"/>
    </row>
    <row r="22">
      <c r="A22" s="6" t="inlineStr">
        <is>
          <t>По середине вилок</t>
        </is>
      </c>
      <c r="B22" s="26" t="inlineStr">
        <is>
          <t>средние значения обеих вилок</t>
        </is>
      </c>
      <c r="C22" s="46">
        <f>IFERROR(AVERAGE(C11:D11)/AVERAGE(C18:D18),0)</f>
        <v/>
      </c>
      <c r="D22" s="31" t="n"/>
    </row>
    <row r="23">
      <c r="A23" s="6" t="inlineStr">
        <is>
          <t>Оптимистичный сценарий</t>
        </is>
      </c>
      <c r="B23" s="26" t="inlineStr">
        <is>
          <t>верх доходов / низ расходов</t>
        </is>
      </c>
      <c r="C23" s="46">
        <f>IFERROR(D11/C18,0)</f>
        <v/>
      </c>
      <c r="D23" s="31" t="n"/>
    </row>
    <row r="24">
      <c r="A24" s="47" t="inlineStr">
        <is>
          <t>Целевой коридор пилота</t>
        </is>
      </c>
      <c r="B24" s="31" t="n"/>
      <c r="C24" s="48" t="inlineStr">
        <is>
          <t>10–30%</t>
        </is>
      </c>
      <c r="D24" s="31" t="n"/>
    </row>
    <row r="26">
      <c r="A26" s="39" t="inlineStr">
        <is>
          <t>ЧТО ДОЛЖНО СОЙТИСЬ</t>
        </is>
      </c>
      <c r="B26" s="31" t="n"/>
      <c r="C26" s="31" t="n"/>
      <c r="D26" s="31" t="n"/>
    </row>
    <row r="27">
      <c r="A27" s="49" t="inlineStr">
        <is>
          <t>• Кластер: общий координатор и бригада, не своя</t>
        </is>
      </c>
    </row>
    <row r="28">
      <c r="A28" s="49" t="inlineStr">
        <is>
          <t>• Спонсоры продлеваются на второй год</t>
        </is>
      </c>
    </row>
    <row r="29">
      <c r="A29" s="49" t="inlineStr">
        <is>
          <t>• Юрстатус пропускает рекламу на стелах</t>
        </is>
      </c>
    </row>
    <row r="31">
      <c r="A31" s="12" t="inlineStr">
        <is>
          <t>Вилки планировочные, для защиты подхода. Точные ставки дадут факт BI Green и нулевой спринт (сентябрь–октябрь 2026); полная модель с помесячной сезонностью собирается на них в ноябре 2026.</t>
        </is>
      </c>
    </row>
    <row r="32"/>
  </sheetData>
  <mergeCells count="9">
    <mergeCell ref="A1:D1"/>
    <mergeCell ref="A27:D27"/>
    <mergeCell ref="A12:D12"/>
    <mergeCell ref="A26:D26"/>
    <mergeCell ref="A20:D20"/>
    <mergeCell ref="A29:D29"/>
    <mergeCell ref="A7:D7"/>
    <mergeCell ref="A31:D32"/>
    <mergeCell ref="A28:D28"/>
  </mergeCells>
  <dataValidations count="1">
    <dataValidation sqref="B3" showDropDown="0" showInputMessage="0" showErrorMessage="0" allowBlank="0" type="list">
      <formula1>=Объекты!$B$4:$B$36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4" customWidth="1" min="1" max="1"/>
    <col width="42" customWidth="1" min="2" max="2"/>
    <col width="15" customWidth="1" min="3" max="3"/>
    <col width="15" customWidth="1" min="4" max="4"/>
  </cols>
  <sheetData>
    <row r="1">
      <c r="A1" s="34" t="inlineStr">
        <is>
          <t>Финмодель Т2 · Активная аллея</t>
        </is>
      </c>
    </row>
    <row r="3">
      <c r="A3" s="35" t="inlineStr">
        <is>
          <t>Объект (выберите из списка):</t>
        </is>
      </c>
      <c r="B3" s="36" t="inlineStr">
        <is>
          <t>Аллея Хедлайнер Эксклюзив</t>
        </is>
      </c>
      <c r="C3" s="37" t="inlineStr">
        <is>
          <t>Озеленение, м²:</t>
        </is>
      </c>
      <c r="D3" s="38">
        <f>IFERROR(INDEX(Объекты!$E$4:$E$36,MATCH($B$3,Объекты!$B$4:$B$36,0)),0)</f>
        <v/>
      </c>
    </row>
    <row r="4">
      <c r="C4" s="37" t="inlineStr">
        <is>
          <t>Общая площадь, м²:</t>
        </is>
      </c>
      <c r="D4" s="38">
        <f>IFERROR(INDEX(Объекты!$F$4:$F$36,MATCH($B$3,Объекты!$B$4:$B$36,0)),0)</f>
        <v/>
      </c>
    </row>
    <row r="6">
      <c r="A6" s="4" t="inlineStr">
        <is>
          <t>Статья</t>
        </is>
      </c>
      <c r="B6" s="4" t="inlineStr">
        <is>
          <t>Как считаем / привязка</t>
        </is>
      </c>
      <c r="C6" s="5" t="inlineStr">
        <is>
          <t>Мин, млн тг/год</t>
        </is>
      </c>
      <c r="D6" s="5" t="inlineStr">
        <is>
          <t>Макс, млн тг/год</t>
        </is>
      </c>
    </row>
    <row r="7">
      <c r="A7" s="39" t="inlineStr">
        <is>
          <t>ДОХОДЫ (вилки: зависят от программы, не от площади)</t>
        </is>
      </c>
      <c r="B7" s="31" t="n"/>
      <c r="C7" s="31" t="n"/>
      <c r="D7" s="31" t="n"/>
    </row>
    <row r="8">
      <c r="A8" s="6" t="inlineStr">
        <is>
          <t>НТО-якорь: кофе-павильон</t>
        </is>
      </c>
      <c r="B8" s="26" t="inlineStr">
        <is>
          <t>аренда 120–250 тыс тг/мес + 2–5% оборота</t>
        </is>
      </c>
      <c r="C8" s="33" t="n">
        <v>1.8</v>
      </c>
      <c r="D8" s="33" t="n">
        <v>3.6</v>
      </c>
    </row>
    <row r="9">
      <c r="A9" s="6" t="inlineStr">
        <is>
          <t>Ярмарка выходного дня</t>
        </is>
      </c>
      <c r="B9" s="26" t="inlineStr">
        <is>
          <t>12–16 ярмарок, 15–25 мест по 3–5 тыс тг</t>
        </is>
      </c>
      <c r="C9" s="33" t="n">
        <v>0.7</v>
      </c>
      <c r="D9" s="33" t="n">
        <v>1.8</v>
      </c>
    </row>
    <row r="10">
      <c r="A10" s="6" t="inlineStr">
        <is>
          <t>Секции и кикшеринг</t>
        </is>
      </c>
      <c r="B10" s="26" t="inlineStr">
        <is>
          <t>слоты тренерам + rev-share операторов</t>
        </is>
      </c>
      <c r="C10" s="33" t="n">
        <v>0.6</v>
      </c>
      <c r="D10" s="33" t="n">
        <v>1.6</v>
      </c>
    </row>
    <row r="11">
      <c r="A11" s="6" t="inlineStr">
        <is>
          <t>Digital-экран и реклама</t>
        </is>
      </c>
      <c r="B11" s="26" t="inlineStr">
        <is>
          <t>при подходящем юрстатусе земли</t>
        </is>
      </c>
      <c r="C11" s="33" t="n">
        <v>0.8</v>
      </c>
      <c r="D11" s="33" t="n">
        <v>2</v>
      </c>
    </row>
    <row r="12">
      <c r="A12" s="6" t="inlineStr">
        <is>
          <t>Спонсорство объектов</t>
        </is>
      </c>
      <c r="B12" s="26" t="inlineStr">
        <is>
          <t>воркаут, клумбы, скамейки</t>
        </is>
      </c>
      <c r="C12" s="33" t="n">
        <v>0.5</v>
      </c>
      <c r="D12" s="33" t="n">
        <v>1.2</v>
      </c>
    </row>
    <row r="13">
      <c r="A13" s="40" t="inlineStr">
        <is>
          <t>Доходы, итого</t>
        </is>
      </c>
      <c r="B13" s="41" t="n"/>
      <c r="C13" s="42">
        <f>SUM(C8:C12)</f>
        <v/>
      </c>
      <c r="D13" s="42">
        <f>SUM(D8:D12)</f>
        <v/>
      </c>
    </row>
    <row r="14">
      <c r="A14" s="39" t="inlineStr">
        <is>
          <t>РАСХОДЫ (OPEX): формулы «площадь × нормативы»</t>
        </is>
      </c>
      <c r="B14" s="31" t="n"/>
      <c r="C14" s="31" t="n"/>
      <c r="D14" s="31" t="n"/>
    </row>
    <row r="15">
      <c r="A15" s="6" t="inlineStr">
        <is>
          <t>Уборка и снегоуборка</t>
        </is>
      </c>
      <c r="B15" s="26" t="inlineStr">
        <is>
          <t>общая площадь × норматив × 12 мес</t>
        </is>
      </c>
      <c r="C15" s="43">
        <f>$D$4*Нормативы!E5*12/1000000</f>
        <v/>
      </c>
      <c r="D15" s="43">
        <f>$D$4*Нормативы!F5*12/1000000</f>
        <v/>
      </c>
    </row>
    <row r="16">
      <c r="A16" s="6" t="inlineStr">
        <is>
          <t>Озеленение и полив</t>
        </is>
      </c>
      <c r="B16" s="26" t="inlineStr">
        <is>
          <t>озеленение × норматив × 7 мес (апр–окт)</t>
        </is>
      </c>
      <c r="C16" s="43">
        <f>$D$3*Нормативы!E6*7/1000000</f>
        <v/>
      </c>
      <c r="D16" s="43">
        <f>$D$3*Нормативы!F6*7/1000000</f>
        <v/>
      </c>
    </row>
    <row r="17">
      <c r="A17" s="6" t="inlineStr">
        <is>
          <t>Свет, электро, digital</t>
        </is>
      </c>
      <c r="B17" s="26" t="inlineStr">
        <is>
          <t>общая площадь × годовой норматив</t>
        </is>
      </c>
      <c r="C17" s="43">
        <f>$D$4*Нормативы!E7/1000000</f>
        <v/>
      </c>
      <c r="D17" s="43">
        <f>$D$4*Нормативы!F7/1000000</f>
        <v/>
      </c>
    </row>
    <row r="18">
      <c r="A18" s="6" t="inlineStr">
        <is>
          <t>Программа и маркетинг</t>
        </is>
      </c>
      <c r="B18" s="26" t="inlineStr">
        <is>
          <t>число событий × цена события</t>
        </is>
      </c>
      <c r="C18" s="43">
        <f>Нормативы!E9*Нормативы!$C$15/1000</f>
        <v/>
      </c>
      <c r="D18" s="43">
        <f>Нормативы!F9*Нормативы!$D$15/1000</f>
        <v/>
      </c>
    </row>
    <row r="19">
      <c r="A19" s="6" t="inlineStr">
        <is>
          <t>Координатор кластера</t>
        </is>
      </c>
      <c r="B19" s="26" t="inlineStr">
        <is>
          <t>ставка × доля × 12 мес</t>
        </is>
      </c>
      <c r="C19" s="43">
        <f>Нормативы!$C$14*Нормативы!E8*12/1000</f>
        <v/>
      </c>
      <c r="D19" s="43">
        <f>Нормативы!$D$14*Нормативы!F8*12/1000</f>
        <v/>
      </c>
    </row>
    <row r="20">
      <c r="A20" s="6" t="inlineStr">
        <is>
          <t>Ремфонд</t>
        </is>
      </c>
      <c r="B20" s="26" t="inlineStr">
        <is>
          <t>доля от прочих статей OPEX</t>
        </is>
      </c>
      <c r="C20" s="43">
        <f>Нормативы!$C$16*SUM(C15:C19)</f>
        <v/>
      </c>
      <c r="D20" s="43">
        <f>Нормативы!$D$16*SUM(D15:D19)</f>
        <v/>
      </c>
    </row>
    <row r="21">
      <c r="A21" s="44" t="inlineStr">
        <is>
          <t>OPEX, итого</t>
        </is>
      </c>
      <c r="B21" s="41" t="n"/>
      <c r="C21" s="45">
        <f>SUM(C15:C20)</f>
        <v/>
      </c>
      <c r="D21" s="45">
        <f>SUM(D15:D20)</f>
        <v/>
      </c>
    </row>
    <row r="23">
      <c r="A23" s="39" t="inlineStr">
        <is>
          <t>ПОКРЫТИЕ OPEX ДОХОДАМИ</t>
        </is>
      </c>
      <c r="B23" s="31" t="n"/>
      <c r="C23" s="31" t="n"/>
      <c r="D23" s="31" t="n"/>
    </row>
    <row r="24">
      <c r="A24" s="6" t="inlineStr">
        <is>
          <t>Консервативный сценарий</t>
        </is>
      </c>
      <c r="B24" s="26" t="inlineStr">
        <is>
          <t>низ доходов / верх расходов</t>
        </is>
      </c>
      <c r="C24" s="46">
        <f>IFERROR(C13/D21,0)</f>
        <v/>
      </c>
      <c r="D24" s="31" t="n"/>
    </row>
    <row r="25">
      <c r="A25" s="6" t="inlineStr">
        <is>
          <t>По середине вилок</t>
        </is>
      </c>
      <c r="B25" s="26" t="inlineStr">
        <is>
          <t>средние значения обеих вилок</t>
        </is>
      </c>
      <c r="C25" s="46">
        <f>IFERROR(AVERAGE(C13:D13)/AVERAGE(C21:D21),0)</f>
        <v/>
      </c>
      <c r="D25" s="31" t="n"/>
    </row>
    <row r="26">
      <c r="A26" s="6" t="inlineStr">
        <is>
          <t>Оптимистичный сценарий</t>
        </is>
      </c>
      <c r="B26" s="26" t="inlineStr">
        <is>
          <t>верх доходов / низ расходов</t>
        </is>
      </c>
      <c r="C26" s="46">
        <f>IFERROR(D13/C21,0)</f>
        <v/>
      </c>
      <c r="D26" s="31" t="n"/>
    </row>
    <row r="27">
      <c r="A27" s="47" t="inlineStr">
        <is>
          <t>Целевой коридор пилота</t>
        </is>
      </c>
      <c r="B27" s="31" t="n"/>
      <c r="C27" s="48" t="inlineStr">
        <is>
          <t>40–70%</t>
        </is>
      </c>
      <c r="D27" s="31" t="n"/>
    </row>
    <row r="29">
      <c r="A29" s="39" t="inlineStr">
        <is>
          <t>ЧТО ДОЛЖНО СОЙТИСЬ</t>
        </is>
      </c>
      <c r="B29" s="31" t="n"/>
      <c r="C29" s="31" t="n"/>
      <c r="D29" s="31" t="n"/>
    </row>
    <row r="30">
      <c r="A30" s="49" t="inlineStr">
        <is>
          <t>• Якорь-павильон заполнен с мая по сентябрь</t>
        </is>
      </c>
    </row>
    <row r="31">
      <c r="A31" s="49" t="inlineStr">
        <is>
          <t>• Ярмарка стала привычкой района: 12+ за сезон</t>
        </is>
      </c>
    </row>
    <row r="32">
      <c r="A32" s="49" t="inlineStr">
        <is>
          <t>• Вечерние слоты секций выкуплены</t>
        </is>
      </c>
    </row>
    <row r="34">
      <c r="A34" s="12" t="inlineStr">
        <is>
          <t>Вилки планировочные, для защиты подхода. Точные ставки дадут факт BI Green и нулевой спринт (сентябрь–октябрь 2026); полная модель с помесячной сезонностью собирается на них в ноябре 2026.</t>
        </is>
      </c>
    </row>
    <row r="35"/>
  </sheetData>
  <mergeCells count="9">
    <mergeCell ref="A1:D1"/>
    <mergeCell ref="A23:D23"/>
    <mergeCell ref="A31:D31"/>
    <mergeCell ref="A34:D35"/>
    <mergeCell ref="A30:D30"/>
    <mergeCell ref="A29:D29"/>
    <mergeCell ref="A7:D7"/>
    <mergeCell ref="A32:D32"/>
    <mergeCell ref="A14:D14"/>
  </mergeCells>
  <dataValidations count="1">
    <dataValidation sqref="B3" showDropDown="0" showInputMessage="0" showErrorMessage="0" allowBlank="0" type="list">
      <formula1>=Объекты!$B$4:$B$36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4" customWidth="1" min="1" max="1"/>
    <col width="42" customWidth="1" min="2" max="2"/>
    <col width="15" customWidth="1" min="3" max="3"/>
    <col width="15" customWidth="1" min="4" max="4"/>
  </cols>
  <sheetData>
    <row r="1">
      <c r="A1" s="34" t="inlineStr">
        <is>
          <t>Финмодель Т3 · Сквер / плейхаб</t>
        </is>
      </c>
    </row>
    <row r="3">
      <c r="A3" s="35" t="inlineStr">
        <is>
          <t>Объект (выберите из списка):</t>
        </is>
      </c>
      <c r="B3" s="36" t="inlineStr">
        <is>
          <t>Сквер Авеню 5</t>
        </is>
      </c>
      <c r="C3" s="37" t="inlineStr">
        <is>
          <t>Озеленение, м²:</t>
        </is>
      </c>
      <c r="D3" s="38">
        <f>IFERROR(INDEX(Объекты!$E$4:$E$36,MATCH($B$3,Объекты!$B$4:$B$36,0)),0)</f>
        <v/>
      </c>
    </row>
    <row r="4">
      <c r="C4" s="37" t="inlineStr">
        <is>
          <t>Общая площадь, м²:</t>
        </is>
      </c>
      <c r="D4" s="38">
        <f>IFERROR(INDEX(Объекты!$F$4:$F$36,MATCH($B$3,Объекты!$B$4:$B$36,0)),0)</f>
        <v/>
      </c>
    </row>
    <row r="6">
      <c r="A6" s="4" t="inlineStr">
        <is>
          <t>Статья</t>
        </is>
      </c>
      <c r="B6" s="4" t="inlineStr">
        <is>
          <t>Как считаем / привязка</t>
        </is>
      </c>
      <c r="C6" s="5" t="inlineStr">
        <is>
          <t>Мин, млн тг/год</t>
        </is>
      </c>
      <c r="D6" s="5" t="inlineStr">
        <is>
          <t>Макс, млн тг/год</t>
        </is>
      </c>
    </row>
    <row r="7">
      <c r="A7" s="39" t="inlineStr">
        <is>
          <t>ДОХОДЫ (вилки: зависят от программы, не от площади)</t>
        </is>
      </c>
      <c r="B7" s="31" t="n"/>
      <c r="C7" s="31" t="n"/>
      <c r="D7" s="31" t="n"/>
    </row>
    <row r="8">
      <c r="A8" s="6" t="inlineStr">
        <is>
          <t>Две НТО-точки</t>
        </is>
      </c>
      <c r="B8" s="26" t="inlineStr">
        <is>
          <t>кофе и выпечка: аренда + % оборота</t>
        </is>
      </c>
      <c r="C8" s="33" t="n">
        <v>2.4</v>
      </c>
      <c r="D8" s="33" t="n">
        <v>4.8</v>
      </c>
    </row>
    <row r="9">
      <c r="A9" s="6" t="inlineStr">
        <is>
          <t>Каток: прокат и билеты</t>
        </is>
      </c>
      <c r="B9" s="26" t="inlineStr">
        <is>
          <t>компактный контур, 120–160 дней</t>
        </is>
      </c>
      <c r="C9" s="33" t="n">
        <v>1.5</v>
      </c>
      <c r="D9" s="33" t="n">
        <v>3.5</v>
      </c>
    </row>
    <row r="10">
      <c r="A10" s="6" t="inlineStr">
        <is>
          <t>Событийная аренда</t>
        </is>
      </c>
      <c r="B10" s="26" t="inlineStr">
        <is>
          <t>10–18 частных и корпоративных событий</t>
        </is>
      </c>
      <c r="C10" s="33" t="n">
        <v>1</v>
      </c>
      <c r="D10" s="33" t="n">
        <v>2.8</v>
      </c>
    </row>
    <row r="11">
      <c r="A11" s="6" t="inlineStr">
        <is>
          <t>Ярмарки, маркеты, секции</t>
        </is>
      </c>
      <c r="B11" s="26" t="inlineStr">
        <is>
          <t>круглогодичный календарь</t>
        </is>
      </c>
      <c r="C11" s="33" t="n">
        <v>1.3</v>
      </c>
      <c r="D11" s="33" t="n">
        <v>2.6</v>
      </c>
    </row>
    <row r="12">
      <c r="A12" s="6" t="inlineStr">
        <is>
          <t>Спонсор года и реклама</t>
        </is>
      </c>
      <c r="B12" s="26" t="inlineStr">
        <is>
          <t>один якорный партнёр + экран</t>
        </is>
      </c>
      <c r="C12" s="33" t="n">
        <v>1.5</v>
      </c>
      <c r="D12" s="33" t="n">
        <v>3.7</v>
      </c>
    </row>
    <row r="13">
      <c r="A13" s="40" t="inlineStr">
        <is>
          <t>Доходы, итого</t>
        </is>
      </c>
      <c r="B13" s="41" t="n"/>
      <c r="C13" s="42">
        <f>SUM(C8:C12)</f>
        <v/>
      </c>
      <c r="D13" s="42">
        <f>SUM(D8:D12)</f>
        <v/>
      </c>
    </row>
    <row r="14">
      <c r="A14" s="39" t="inlineStr">
        <is>
          <t>РАСХОДЫ (OPEX): формулы «площадь × нормативы»</t>
        </is>
      </c>
      <c r="B14" s="31" t="n"/>
      <c r="C14" s="31" t="n"/>
      <c r="D14" s="31" t="n"/>
    </row>
    <row r="15">
      <c r="A15" s="6" t="inlineStr">
        <is>
          <t>Уборка и снегоуборка</t>
        </is>
      </c>
      <c r="B15" s="26" t="inlineStr">
        <is>
          <t>общая площадь × норматив × 12 мес</t>
        </is>
      </c>
      <c r="C15" s="43">
        <f>$D$4*Нормативы!G5*12/1000000</f>
        <v/>
      </c>
      <c r="D15" s="43">
        <f>$D$4*Нормативы!H5*12/1000000</f>
        <v/>
      </c>
    </row>
    <row r="16">
      <c r="A16" s="6" t="inlineStr">
        <is>
          <t>Озеленение и полив</t>
        </is>
      </c>
      <c r="B16" s="26" t="inlineStr">
        <is>
          <t>озеленение × норматив × 7 мес (апр–окт)</t>
        </is>
      </c>
      <c r="C16" s="43">
        <f>$D$3*Нормативы!G6*7/1000000</f>
        <v/>
      </c>
      <c r="D16" s="43">
        <f>$D$3*Нормативы!H6*7/1000000</f>
        <v/>
      </c>
    </row>
    <row r="17">
      <c r="A17" s="6" t="inlineStr">
        <is>
          <t>Свет, электро, digital</t>
        </is>
      </c>
      <c r="B17" s="26" t="inlineStr">
        <is>
          <t>общая площадь × годовой норматив</t>
        </is>
      </c>
      <c r="C17" s="43">
        <f>$D$4*Нормативы!G7/1000000</f>
        <v/>
      </c>
      <c r="D17" s="43">
        <f>$D$4*Нормативы!H7/1000000</f>
        <v/>
      </c>
    </row>
    <row r="18">
      <c r="A18" s="6" t="inlineStr">
        <is>
          <t>Зимний пакет</t>
        </is>
      </c>
      <c r="B18" s="26" t="inlineStr">
        <is>
          <t>норматив, млн тг/год</t>
        </is>
      </c>
      <c r="C18" s="43">
        <f>Нормативы!G10</f>
        <v/>
      </c>
      <c r="D18" s="43">
        <f>Нормативы!H10</f>
        <v/>
      </c>
    </row>
    <row r="19">
      <c r="A19" s="6" t="inlineStr">
        <is>
          <t>Программа и маркетинг</t>
        </is>
      </c>
      <c r="B19" s="26" t="inlineStr">
        <is>
          <t>число событий × цена события</t>
        </is>
      </c>
      <c r="C19" s="43">
        <f>Нормативы!G9*Нормативы!$C$15/1000</f>
        <v/>
      </c>
      <c r="D19" s="43">
        <f>Нормативы!H9*Нормативы!$D$15/1000</f>
        <v/>
      </c>
    </row>
    <row r="20">
      <c r="A20" s="6" t="inlineStr">
        <is>
          <t>Координатор кластера</t>
        </is>
      </c>
      <c r="B20" s="26" t="inlineStr">
        <is>
          <t>ставка × доля × 12 мес</t>
        </is>
      </c>
      <c r="C20" s="43">
        <f>Нормативы!$C$14*Нормативы!G8*12/1000</f>
        <v/>
      </c>
      <c r="D20" s="43">
        <f>Нормативы!$D$14*Нормативы!H8*12/1000</f>
        <v/>
      </c>
    </row>
    <row r="21">
      <c r="A21" s="6" t="inlineStr">
        <is>
          <t>Ремфонд</t>
        </is>
      </c>
      <c r="B21" s="26" t="inlineStr">
        <is>
          <t>доля от прочих статей OPEX</t>
        </is>
      </c>
      <c r="C21" s="43">
        <f>Нормативы!$C$16*SUM(C15:C20)</f>
        <v/>
      </c>
      <c r="D21" s="43">
        <f>Нормативы!$D$16*SUM(D15:D20)</f>
        <v/>
      </c>
    </row>
    <row r="22">
      <c r="A22" s="44" t="inlineStr">
        <is>
          <t>OPEX, итого</t>
        </is>
      </c>
      <c r="B22" s="41" t="n"/>
      <c r="C22" s="45">
        <f>SUM(C15:C21)</f>
        <v/>
      </c>
      <c r="D22" s="45">
        <f>SUM(D15:D21)</f>
        <v/>
      </c>
    </row>
    <row r="24">
      <c r="A24" s="39" t="inlineStr">
        <is>
          <t>ПОКРЫТИЕ OPEX ДОХОДАМИ</t>
        </is>
      </c>
      <c r="B24" s="31" t="n"/>
      <c r="C24" s="31" t="n"/>
      <c r="D24" s="31" t="n"/>
    </row>
    <row r="25">
      <c r="A25" s="6" t="inlineStr">
        <is>
          <t>Консервативный сценарий</t>
        </is>
      </c>
      <c r="B25" s="26" t="inlineStr">
        <is>
          <t>низ доходов / верх расходов</t>
        </is>
      </c>
      <c r="C25" s="46">
        <f>IFERROR(C13/D22,0)</f>
        <v/>
      </c>
      <c r="D25" s="31" t="n"/>
    </row>
    <row r="26">
      <c r="A26" s="6" t="inlineStr">
        <is>
          <t>По середине вилок</t>
        </is>
      </c>
      <c r="B26" s="26" t="inlineStr">
        <is>
          <t>средние значения обеих вилок</t>
        </is>
      </c>
      <c r="C26" s="46">
        <f>IFERROR(AVERAGE(C13:D13)/AVERAGE(C22:D22),0)</f>
        <v/>
      </c>
      <c r="D26" s="31" t="n"/>
    </row>
    <row r="27">
      <c r="A27" s="6" t="inlineStr">
        <is>
          <t>Оптимистичный сценарий</t>
        </is>
      </c>
      <c r="B27" s="26" t="inlineStr">
        <is>
          <t>верх доходов / низ расходов</t>
        </is>
      </c>
      <c r="C27" s="46">
        <f>IFERROR(D13/C22,0)</f>
        <v/>
      </c>
      <c r="D27" s="31" t="n"/>
    </row>
    <row r="28">
      <c r="A28" s="47" t="inlineStr">
        <is>
          <t>Целевой коридор пилота</t>
        </is>
      </c>
      <c r="B28" s="31" t="n"/>
      <c r="C28" s="48" t="inlineStr">
        <is>
          <t>70–100%</t>
        </is>
      </c>
      <c r="D28" s="31" t="n"/>
    </row>
    <row r="30">
      <c r="A30" s="39" t="inlineStr">
        <is>
          <t>ЧТО ДОЛЖНО СОЙТИСЬ</t>
        </is>
      </c>
      <c r="B30" s="31" t="n"/>
      <c r="C30" s="31" t="n"/>
      <c r="D30" s="31" t="n"/>
    </row>
    <row r="31">
      <c r="A31" s="49" t="inlineStr">
        <is>
          <t>• Каток отработал первую зиму без простоев</t>
        </is>
      </c>
    </row>
    <row r="32">
      <c r="A32" s="49" t="inlineStr">
        <is>
          <t>• Заявок на события больше, чем слотов</t>
        </is>
      </c>
    </row>
    <row r="33">
      <c r="A33" s="49" t="inlineStr">
        <is>
          <t>• Спонсор года подписан до старта сезона</t>
        </is>
      </c>
    </row>
    <row r="35">
      <c r="A35" s="12" t="inlineStr">
        <is>
          <t>Вилки планировочные, для защиты подхода. Точные ставки дадут факт BI Green и нулевой спринт (сентябрь–октябрь 2026); полная модель с помесячной сезонностью собирается на них в ноябре 2026.</t>
        </is>
      </c>
    </row>
    <row r="36"/>
  </sheetData>
  <mergeCells count="9">
    <mergeCell ref="A1:D1"/>
    <mergeCell ref="A31:D31"/>
    <mergeCell ref="A30:D30"/>
    <mergeCell ref="A35:D36"/>
    <mergeCell ref="A7:D7"/>
    <mergeCell ref="A24:D24"/>
    <mergeCell ref="A33:D33"/>
    <mergeCell ref="A32:D32"/>
    <mergeCell ref="A14:D14"/>
  </mergeCells>
  <dataValidations count="1">
    <dataValidation sqref="B3" showDropDown="0" showInputMessage="0" showErrorMessage="0" allowBlank="0" type="list">
      <formula1>=Объекты!$B$4:$B$36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8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4" customWidth="1" min="1" max="1"/>
    <col width="42" customWidth="1" min="2" max="2"/>
    <col width="15" customWidth="1" min="3" max="3"/>
    <col width="15" customWidth="1" min="4" max="4"/>
  </cols>
  <sheetData>
    <row r="1">
      <c r="A1" s="34" t="inlineStr">
        <is>
          <t>Финмодель Т4 · Парк по ГЧП (BTO)</t>
        </is>
      </c>
    </row>
    <row r="3">
      <c r="A3" s="35" t="inlineStr">
        <is>
          <t>Объект (выберите из списка):</t>
        </is>
      </c>
      <c r="B3" s="36" t="inlineStr">
        <is>
          <t>Sphere Park</t>
        </is>
      </c>
      <c r="C3" s="37" t="inlineStr">
        <is>
          <t>Озеленение, м²:</t>
        </is>
      </c>
      <c r="D3" s="38">
        <f>IFERROR(INDEX(Объекты!$E$4:$E$36,MATCH($B$3,Объекты!$B$4:$B$36,0)),0)</f>
        <v/>
      </c>
    </row>
    <row r="4">
      <c r="C4" s="37" t="inlineStr">
        <is>
          <t>Общая площадь, м²:</t>
        </is>
      </c>
      <c r="D4" s="38">
        <f>IFERROR(INDEX(Объекты!$F$4:$F$36,MATCH($B$3,Объекты!$B$4:$B$36,0)),0)</f>
        <v/>
      </c>
    </row>
    <row r="6">
      <c r="A6" s="4" t="inlineStr">
        <is>
          <t>Статья</t>
        </is>
      </c>
      <c r="B6" s="4" t="inlineStr">
        <is>
          <t>Как считаем / привязка</t>
        </is>
      </c>
      <c r="C6" s="5" t="inlineStr">
        <is>
          <t>Мин, млн тг/год</t>
        </is>
      </c>
      <c r="D6" s="5" t="inlineStr">
        <is>
          <t>Макс, млн тг/год</t>
        </is>
      </c>
    </row>
    <row r="7">
      <c r="A7" s="39" t="inlineStr">
        <is>
          <t>ДОХОДЫ (вилки: зависят от программы, не от площади)</t>
        </is>
      </c>
      <c r="B7" s="31" t="n"/>
      <c r="C7" s="31" t="n"/>
      <c r="D7" s="31" t="n"/>
    </row>
    <row r="8">
      <c r="A8" s="6" t="inlineStr">
        <is>
          <t>Компенсация эксплуатации (акимат)</t>
        </is>
      </c>
      <c r="B8" s="26" t="inlineStr">
        <is>
          <t>структура BTO: ~0,33 млрд тг за 5 лет</t>
        </is>
      </c>
      <c r="C8" s="33" t="n">
        <v>55</v>
      </c>
      <c r="D8" s="33" t="n">
        <v>70</v>
      </c>
    </row>
    <row r="9">
      <c r="A9" s="6" t="inlineStr">
        <is>
          <t>НТО-точки, 3–5 шт</t>
        </is>
      </c>
      <c r="B9" s="26" t="inlineStr">
        <is>
          <t>кофе, стритфуд, прокат</t>
        </is>
      </c>
      <c r="C9" s="33" t="n">
        <v>3</v>
      </c>
      <c r="D9" s="33" t="n">
        <v>6</v>
      </c>
    </row>
    <row r="10">
      <c r="A10" s="6" t="inlineStr">
        <is>
          <t>Каток и зимний прокат</t>
        </is>
      </c>
      <c r="B10" s="26" t="inlineStr">
        <is>
          <t>большой контур, 120–160 дней</t>
        </is>
      </c>
      <c r="C10" s="33" t="n">
        <v>8</v>
      </c>
      <c r="D10" s="33" t="n">
        <v>16</v>
      </c>
    </row>
    <row r="11">
      <c r="A11" s="6" t="inlineStr">
        <is>
          <t>Событийная аренда и фестивали</t>
        </is>
      </c>
      <c r="B11" s="26" t="inlineStr">
        <is>
          <t>городской масштаб</t>
        </is>
      </c>
      <c r="C11" s="33" t="n">
        <v>3</v>
      </c>
      <c r="D11" s="33" t="n">
        <v>8</v>
      </c>
    </row>
    <row r="12">
      <c r="A12" s="6" t="inlineStr">
        <is>
          <t>Ярмарки и маркеты</t>
        </is>
      </c>
      <c r="B12" s="26" t="inlineStr">
        <is>
          <t>круглогодично</t>
        </is>
      </c>
      <c r="C12" s="33" t="n">
        <v>2</v>
      </c>
      <c r="D12" s="33" t="n">
        <v>4</v>
      </c>
    </row>
    <row r="13">
      <c r="A13" s="6" t="inlineStr">
        <is>
          <t>Спонсоры и реклама</t>
        </is>
      </c>
      <c r="B13" s="26" t="inlineStr">
        <is>
          <t>якорные партнёры</t>
        </is>
      </c>
      <c r="C13" s="33" t="n">
        <v>2</v>
      </c>
      <c r="D13" s="33" t="n">
        <v>5</v>
      </c>
    </row>
    <row r="14">
      <c r="A14" s="40" t="inlineStr">
        <is>
          <t>Доходы, итого</t>
        </is>
      </c>
      <c r="B14" s="41" t="n"/>
      <c r="C14" s="42">
        <f>SUM(C8:C13)</f>
        <v/>
      </c>
      <c r="D14" s="42">
        <f>SUM(D8:D13)</f>
        <v/>
      </c>
    </row>
    <row r="15">
      <c r="A15" s="39" t="inlineStr">
        <is>
          <t>РАСХОДЫ (OPEX): формулы «площадь × нормативы»</t>
        </is>
      </c>
      <c r="B15" s="31" t="n"/>
      <c r="C15" s="31" t="n"/>
      <c r="D15" s="31" t="n"/>
    </row>
    <row r="16">
      <c r="A16" s="6" t="inlineStr">
        <is>
          <t>Уборка и снегоуборка</t>
        </is>
      </c>
      <c r="B16" s="26" t="inlineStr">
        <is>
          <t>общая площадь × норматив × 12 мес</t>
        </is>
      </c>
      <c r="C16" s="43">
        <f>$D$4*Нормативы!I5*12/1000000</f>
        <v/>
      </c>
      <c r="D16" s="43">
        <f>$D$4*Нормативы!J5*12/1000000</f>
        <v/>
      </c>
    </row>
    <row r="17">
      <c r="A17" s="6" t="inlineStr">
        <is>
          <t>Озеленение и полив</t>
        </is>
      </c>
      <c r="B17" s="26" t="inlineStr">
        <is>
          <t>озеленение × норматив × 7 мес (апр–окт)</t>
        </is>
      </c>
      <c r="C17" s="43">
        <f>$D$3*Нормативы!I6*7/1000000</f>
        <v/>
      </c>
      <c r="D17" s="43">
        <f>$D$3*Нормативы!J6*7/1000000</f>
        <v/>
      </c>
    </row>
    <row r="18">
      <c r="A18" s="6" t="inlineStr">
        <is>
          <t>Свет, электро, digital</t>
        </is>
      </c>
      <c r="B18" s="26" t="inlineStr">
        <is>
          <t>общая площадь × годовой норматив</t>
        </is>
      </c>
      <c r="C18" s="43">
        <f>$D$4*Нормативы!I7/1000000</f>
        <v/>
      </c>
      <c r="D18" s="43">
        <f>$D$4*Нормативы!J7/1000000</f>
        <v/>
      </c>
    </row>
    <row r="19">
      <c r="A19" s="6" t="inlineStr">
        <is>
          <t>Зимний пакет</t>
        </is>
      </c>
      <c r="B19" s="26" t="inlineStr">
        <is>
          <t>норматив, млн тг/год</t>
        </is>
      </c>
      <c r="C19" s="43">
        <f>Нормативы!I10</f>
        <v/>
      </c>
      <c r="D19" s="43">
        <f>Нормативы!J10</f>
        <v/>
      </c>
    </row>
    <row r="20">
      <c r="A20" s="6" t="inlineStr">
        <is>
          <t>Программа и маркетинг</t>
        </is>
      </c>
      <c r="B20" s="26" t="inlineStr">
        <is>
          <t>число событий × цена события</t>
        </is>
      </c>
      <c r="C20" s="43">
        <f>Нормативы!I9*Нормативы!$C$15/1000</f>
        <v/>
      </c>
      <c r="D20" s="43">
        <f>Нормативы!J9*Нормативы!$D$15/1000</f>
        <v/>
      </c>
    </row>
    <row r="21">
      <c r="A21" s="6" t="inlineStr">
        <is>
          <t>Персонал парка</t>
        </is>
      </c>
      <c r="B21" s="26" t="inlineStr">
        <is>
          <t>норматив, млн тг/год</t>
        </is>
      </c>
      <c r="C21" s="43">
        <f>Нормативы!I11</f>
        <v/>
      </c>
      <c r="D21" s="43">
        <f>Нормативы!J11</f>
        <v/>
      </c>
    </row>
    <row r="22">
      <c r="A22" s="6" t="inlineStr">
        <is>
          <t>Ремфонд</t>
        </is>
      </c>
      <c r="B22" s="26" t="inlineStr">
        <is>
          <t>доля от прочих статей OPEX</t>
        </is>
      </c>
      <c r="C22" s="43">
        <f>Нормативы!$C$16*SUM(C16:C21)</f>
        <v/>
      </c>
      <c r="D22" s="43">
        <f>Нормативы!$D$16*SUM(D16:D21)</f>
        <v/>
      </c>
    </row>
    <row r="23">
      <c r="A23" s="44" t="inlineStr">
        <is>
          <t>OPEX, итого</t>
        </is>
      </c>
      <c r="B23" s="41" t="n"/>
      <c r="C23" s="45">
        <f>SUM(C16:C22)</f>
        <v/>
      </c>
      <c r="D23" s="45">
        <f>SUM(D16:D22)</f>
        <v/>
      </c>
    </row>
    <row r="25">
      <c r="A25" s="39" t="inlineStr">
        <is>
          <t>ПОКРЫТИЕ OPEX ДОХОДАМИ</t>
        </is>
      </c>
      <c r="B25" s="31" t="n"/>
      <c r="C25" s="31" t="n"/>
      <c r="D25" s="31" t="n"/>
    </row>
    <row r="26">
      <c r="A26" s="6" t="inlineStr">
        <is>
          <t>Консервативный сценарий</t>
        </is>
      </c>
      <c r="B26" s="26" t="inlineStr">
        <is>
          <t>низ доходов / верх расходов</t>
        </is>
      </c>
      <c r="C26" s="46">
        <f>IFERROR(C14/D23,0)</f>
        <v/>
      </c>
      <c r="D26" s="31" t="n"/>
    </row>
    <row r="27">
      <c r="A27" s="6" t="inlineStr">
        <is>
          <t>По середине вилок</t>
        </is>
      </c>
      <c r="B27" s="26" t="inlineStr">
        <is>
          <t>средние значения обеих вилок</t>
        </is>
      </c>
      <c r="C27" s="46">
        <f>IFERROR(AVERAGE(C14:D14)/AVERAGE(C23:D23),0)</f>
        <v/>
      </c>
      <c r="D27" s="31" t="n"/>
    </row>
    <row r="28">
      <c r="A28" s="6" t="inlineStr">
        <is>
          <t>Оптимистичный сценарий</t>
        </is>
      </c>
      <c r="B28" s="26" t="inlineStr">
        <is>
          <t>верх доходов / низ расходов</t>
        </is>
      </c>
      <c r="C28" s="46">
        <f>IFERROR(D14/C23,0)</f>
        <v/>
      </c>
      <c r="D28" s="31" t="n"/>
    </row>
    <row r="29">
      <c r="A29" s="47" t="inlineStr">
        <is>
          <t>Целевой коридор пилота</t>
        </is>
      </c>
      <c r="B29" s="31" t="n"/>
      <c r="C29" s="48" t="inlineStr">
        <is>
          <t>80–110%</t>
        </is>
      </c>
      <c r="D29" s="31" t="n"/>
    </row>
    <row r="31">
      <c r="A31" s="39" t="inlineStr">
        <is>
          <t>ЧТО ДОЛЖНО СОЙТИСЬ</t>
        </is>
      </c>
      <c r="B31" s="31" t="n"/>
      <c r="C31" s="31" t="n"/>
      <c r="D31" s="31" t="n"/>
    </row>
    <row r="32">
      <c r="A32" s="49" t="inlineStr">
        <is>
          <t>• ГЧП-договор подписан, компенсация в бюджете МИО</t>
        </is>
      </c>
    </row>
    <row r="33">
      <c r="A33" s="49" t="inlineStr">
        <is>
          <t>• Каток и события дотягивают покрытие до 100%+</t>
        </is>
      </c>
    </row>
    <row r="34">
      <c r="A34" s="49" t="inlineStr">
        <is>
          <t>• Стандарт содержания выше городского бенчмарка</t>
        </is>
      </c>
    </row>
    <row r="35">
      <c r="A35" s="49" t="inlineStr">
        <is>
          <t>• CAPEX ~2,2 млрд тг компенсируется бюджетом МИО отдельно (2026–2031) — в операционную модель не входит</t>
        </is>
      </c>
    </row>
    <row r="37">
      <c r="A37" s="12" t="inlineStr">
        <is>
          <t>Вилки планировочные, для защиты подхода. Точные ставки дадут факт BI Green и нулевой спринт (сентябрь–октябрь 2026); полная модель с помесячной сезонностью собирается на них в ноябре 2026.</t>
        </is>
      </c>
    </row>
    <row r="38"/>
  </sheetData>
  <mergeCells count="10">
    <mergeCell ref="A1:D1"/>
    <mergeCell ref="A31:D31"/>
    <mergeCell ref="A34:D34"/>
    <mergeCell ref="A35:D35"/>
    <mergeCell ref="A15:D15"/>
    <mergeCell ref="A7:D7"/>
    <mergeCell ref="A25:D25"/>
    <mergeCell ref="A33:D33"/>
    <mergeCell ref="A37:D38"/>
    <mergeCell ref="A32:D32"/>
  </mergeCells>
  <dataValidations count="1">
    <dataValidation sqref="B3" showDropDown="0" showInputMessage="0" showErrorMessage="0" allowBlank="0" type="list">
      <formula1>=Объекты!$B$4:$B$36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2026-08-14T09:28:27Z</dcterms:created>
  <dcterms:modified xmlns:dcterms="http://purl.org/dc/terms/" xmlns:xsi="http://www.w3.org/2001/XMLSchema-instance" xsi:type="dcterms:W3CDTF">2026-08-14T09:28:27Z</dcterms:modified>
</cp:coreProperties>
</file>