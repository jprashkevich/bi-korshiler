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Т1 Аура" sheetId="2" state="visible" r:id="rId2"/>
    <sheet xmlns:r="http://schemas.openxmlformats.org/officeDocument/2006/relationships" name="Т2 Nexpo Классик" sheetId="3" state="visible" r:id="rId3"/>
    <sheet xmlns:r="http://schemas.openxmlformats.org/officeDocument/2006/relationships" name="Т3 Акв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family val="2"/>
      <color theme="1"/>
      <sz val="11"/>
      <scheme val="minor"/>
    </font>
    <font>
      <name val="Arial"/>
      <b val="1"/>
      <color rgb="001B2A6E"/>
      <sz val="14"/>
    </font>
    <font>
      <name val="Arial"/>
      <color rgb="008A93A6"/>
      <sz val="10"/>
    </font>
    <font>
      <name val="Arial"/>
      <b val="1"/>
      <color rgb="00FFFFFF"/>
      <sz val="10"/>
    </font>
    <font>
      <name val="Arial"/>
      <b val="1"/>
      <color rgb="001B2A6E"/>
      <sz val="9"/>
    </font>
    <font>
      <name val="Arial"/>
      <sz val="10"/>
    </font>
    <font>
      <name val="Arial"/>
      <color rgb="008A93A6"/>
      <sz val="9"/>
    </font>
    <font>
      <name val="Arial"/>
      <color rgb="000000FF"/>
      <sz val="10"/>
    </font>
    <font>
      <name val="Arial"/>
      <b val="1"/>
      <color rgb="001E7A45"/>
      <sz val="10.5"/>
    </font>
    <font>
      <name val="Arial"/>
      <b val="1"/>
      <color rgb="00B03A2E"/>
      <sz val="10.5"/>
    </font>
    <font>
      <name val="Arial"/>
      <b val="1"/>
      <sz val="10.5"/>
    </font>
    <font>
      <name val="Arial"/>
      <b val="1"/>
      <sz val="10"/>
    </font>
    <font>
      <name val="Arial"/>
      <b val="1"/>
      <color rgb="001B2A6E"/>
      <sz val="10.5"/>
    </font>
    <font>
      <name val="Arial"/>
      <i val="1"/>
      <color rgb="008A93A6"/>
      <sz val="9"/>
    </font>
    <font>
      <name val="Arial"/>
      <b val="1"/>
      <color rgb="001B2A6E"/>
      <sz val="15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2A6E"/>
      </patternFill>
    </fill>
    <fill>
      <patternFill patternType="solid">
        <fgColor rgb="00DFE8F4"/>
      </patternFill>
    </fill>
    <fill>
      <patternFill patternType="solid">
        <fgColor rgb="00FFFF00"/>
      </patternFill>
    </fill>
    <fill>
      <patternFill patternType="solid">
        <fgColor rgb="00EAF1FA"/>
      </patternFill>
    </fill>
  </fills>
  <borders count="2">
    <border>
      <left/>
      <right/>
      <top/>
      <bottom/>
      <diagonal/>
    </border>
    <border>
      <left style="thin">
        <color rgb="00D5DCE8"/>
      </left>
      <right style="thin">
        <color rgb="00D5DCE8"/>
      </right>
      <top style="thin">
        <color rgb="00D5DCE8"/>
      </top>
      <bottom style="thin">
        <color rgb="00D5DCE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4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5" fillId="0" borderId="1" pivotButton="0" quotePrefix="0" xfId="0"/>
    <xf numFmtId="0" fontId="15" fillId="0" borderId="1" applyAlignment="1" pivotButton="0" quotePrefix="0" xfId="0">
      <alignment horizontal="right"/>
    </xf>
    <xf numFmtId="3" fontId="15" fillId="0" borderId="1" applyAlignment="1" pivotButton="0" quotePrefix="0" xfId="0">
      <alignment horizontal="right"/>
    </xf>
    <xf numFmtId="164" fontId="16" fillId="0" borderId="1" applyAlignment="1" pivotButton="0" quotePrefix="0" xfId="0">
      <alignment horizontal="right"/>
    </xf>
    <xf numFmtId="9" fontId="17" fillId="0" borderId="1" applyAlignment="1" pivotButton="0" quotePrefix="0" xfId="0">
      <alignment horizontal="right"/>
    </xf>
    <xf numFmtId="0" fontId="18" fillId="0" borderId="1" applyAlignment="1" pivotButton="0" quotePrefix="0" xfId="0">
      <alignment horizontal="right"/>
    </xf>
    <xf numFmtId="0" fontId="1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164" fontId="7" fillId="4" borderId="1" applyAlignment="1" pivotButton="0" quotePrefix="0" xfId="0">
      <alignment horizontal="right"/>
    </xf>
    <xf numFmtId="0" fontId="8" fillId="5" borderId="1" pivotButton="0" quotePrefix="0" xfId="0"/>
    <xf numFmtId="0" fontId="0" fillId="5" borderId="1" pivotButton="0" quotePrefix="0" xfId="0"/>
    <xf numFmtId="164" fontId="8" fillId="5" borderId="1" applyAlignment="1" pivotButton="0" quotePrefix="0" xfId="0">
      <alignment horizontal="right"/>
    </xf>
    <xf numFmtId="0" fontId="9" fillId="5" borderId="1" pivotButton="0" quotePrefix="0" xfId="0"/>
    <xf numFmtId="164" fontId="9" fillId="5" borderId="1" applyAlignment="1" pivotButton="0" quotePrefix="0" xfId="0">
      <alignment horizontal="right"/>
    </xf>
    <xf numFmtId="9" fontId="10" fillId="0" borderId="1" applyAlignment="1" pivotButton="0" quotePrefix="0" xfId="0">
      <alignment horizontal="right"/>
    </xf>
    <xf numFmtId="0" fontId="11" fillId="0" borderId="1" pivotButton="0" quotePrefix="0" xfId="0"/>
    <xf numFmtId="0" fontId="12" fillId="0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20" customWidth="1" min="4" max="4"/>
    <col width="4" customWidth="1" min="5" max="5"/>
  </cols>
  <sheetData>
    <row r="1">
      <c r="A1" s="1" t="inlineStr">
        <is>
          <t>Финмодели пилота «Парки и аллеи BI» · Т1 / Т2 / Т3</t>
        </is>
      </c>
    </row>
    <row r="2">
      <c r="A2" s="2" t="inlineStr">
        <is>
          <t>Планировочные вилки к защите пилота · август 2026 · BI Service</t>
        </is>
      </c>
    </row>
    <row r="4">
      <c r="A4" s="3" t="inlineStr">
        <is>
          <t>Как пользоваться: жёлтые ячейки на листах моделей — редактируемые ставки-вилки (синий шрифт). Меняйте их, итоги и покрытие OPEX пересчитаются сами. Остальные ячейки — формулы, их не трогаем.</t>
        </is>
      </c>
    </row>
    <row r="5"/>
    <row r="7">
      <c r="A7" s="4" t="inlineStr">
        <is>
          <t>Показатель</t>
        </is>
      </c>
      <c r="B7" s="5" t="inlineStr">
        <is>
          <t>Т1 · Аура</t>
        </is>
      </c>
      <c r="C7" s="5" t="inlineStr">
        <is>
          <t>Т2 · Nexpo Классик</t>
        </is>
      </c>
      <c r="D7" s="5" t="inlineStr">
        <is>
          <t>Т3 · Аква</t>
        </is>
      </c>
    </row>
    <row r="8">
      <c r="A8" s="6" t="inlineStr">
        <is>
          <t>Тип территории</t>
        </is>
      </c>
      <c r="B8" s="7" t="inlineStr">
        <is>
          <t>Транзитная аллея</t>
        </is>
      </c>
      <c r="C8" s="7" t="inlineStr">
        <is>
          <t>Активная аллея</t>
        </is>
      </c>
      <c r="D8" s="7" t="inlineStr">
        <is>
          <t>Плейхаб</t>
        </is>
      </c>
    </row>
    <row r="9">
      <c r="A9" s="6" t="inlineStr">
        <is>
          <t>Площадь, м²</t>
        </is>
      </c>
      <c r="B9" s="8" t="n">
        <v>800</v>
      </c>
      <c r="C9" s="8" t="n">
        <v>6200</v>
      </c>
      <c r="D9" s="8" t="n">
        <v>2385</v>
      </c>
    </row>
    <row r="10">
      <c r="A10" s="6" t="inlineStr">
        <is>
          <t>Доходы, млн тг/год (мин)</t>
        </is>
      </c>
      <c r="B10" s="9">
        <f>'Т1 Аура'!C9</f>
        <v/>
      </c>
      <c r="C10" s="9">
        <f>'Т2 Nexpo Классик'!C11</f>
        <v/>
      </c>
      <c r="D10" s="9">
        <f>'Т3 Аква'!C11</f>
        <v/>
      </c>
    </row>
    <row r="11">
      <c r="A11" s="6" t="inlineStr">
        <is>
          <t>Доходы, млн тг/год (макс)</t>
        </is>
      </c>
      <c r="B11" s="9">
        <f>'Т1 Аура'!D9</f>
        <v/>
      </c>
      <c r="C11" s="9">
        <f>'Т2 Nexpo Классик'!D11</f>
        <v/>
      </c>
      <c r="D11" s="9">
        <f>'Т3 Аква'!D11</f>
        <v/>
      </c>
    </row>
    <row r="12">
      <c r="A12" s="6" t="inlineStr">
        <is>
          <t>OPEX, млн тг/год (мин)</t>
        </is>
      </c>
      <c r="B12" s="9">
        <f>'Т1 Аура'!C16</f>
        <v/>
      </c>
      <c r="C12" s="9">
        <f>'Т2 Nexpo Классик'!C19</f>
        <v/>
      </c>
      <c r="D12" s="9">
        <f>'Т3 Аква'!C20</f>
        <v/>
      </c>
    </row>
    <row r="13">
      <c r="A13" s="6" t="inlineStr">
        <is>
          <t>OPEX, млн тг/год (макс)</t>
        </is>
      </c>
      <c r="B13" s="9">
        <f>'Т1 Аура'!D16</f>
        <v/>
      </c>
      <c r="C13" s="9">
        <f>'Т2 Nexpo Классик'!D19</f>
        <v/>
      </c>
      <c r="D13" s="9">
        <f>'Т3 Аква'!D20</f>
        <v/>
      </c>
    </row>
    <row r="14">
      <c r="A14" s="6" t="inlineStr">
        <is>
          <t>Покрытие OPEX, консервативно</t>
        </is>
      </c>
      <c r="B14" s="10">
        <f>IFERROR('Т1 Аура'!C9/'Т1 Аура'!D16,0)</f>
        <v/>
      </c>
      <c r="C14" s="10">
        <f>IFERROR('Т2 Nexpo Классик'!C11/'Т2 Nexpo Классик'!D19,0)</f>
        <v/>
      </c>
      <c r="D14" s="10">
        <f>IFERROR('Т3 Аква'!C11/'Т3 Аква'!D20,0)</f>
        <v/>
      </c>
    </row>
    <row r="15">
      <c r="A15" s="6" t="inlineStr">
        <is>
          <t>Покрытие OPEX, по середине вилок</t>
        </is>
      </c>
      <c r="B15" s="10">
        <f>IFERROR(AVERAGE('Т1 Аура'!C9:D9)/AVERAGE('Т1 Аура'!C16:D16),0)</f>
        <v/>
      </c>
      <c r="C15" s="10">
        <f>IFERROR(AVERAGE('Т2 Nexpo Классик'!C11:D11)/AVERAGE('Т2 Nexpo Классик'!C19:D19),0)</f>
        <v/>
      </c>
      <c r="D15" s="10">
        <f>IFERROR(AVERAGE('Т3 Аква'!C11:D11)/AVERAGE('Т3 Аква'!C20:D20),0)</f>
        <v/>
      </c>
    </row>
    <row r="16">
      <c r="A16" s="6" t="inlineStr">
        <is>
          <t>Покрытие OPEX, оптимистично</t>
        </is>
      </c>
      <c r="B16" s="10">
        <f>IFERROR('Т1 Аура'!D9/'Т1 Аура'!C16,0)</f>
        <v/>
      </c>
      <c r="C16" s="10">
        <f>IFERROR('Т2 Nexpo Классик'!D11/'Т2 Nexpo Классик'!C19,0)</f>
        <v/>
      </c>
      <c r="D16" s="10">
        <f>IFERROR('Т3 Аква'!D11/'Т3 Аква'!C20,0)</f>
        <v/>
      </c>
    </row>
    <row r="17">
      <c r="A17" s="6" t="inlineStr">
        <is>
          <t>Целевой коридор пилота</t>
        </is>
      </c>
      <c r="B17" s="11" t="inlineStr">
        <is>
          <t>10–30%</t>
        </is>
      </c>
      <c r="C17" s="11" t="inlineStr">
        <is>
          <t>40–70%</t>
        </is>
      </c>
      <c r="D17" s="11" t="inlineStr">
        <is>
          <t>70–100%</t>
        </is>
      </c>
    </row>
    <row r="19">
      <c r="A19" s="12" t="inlineStr">
        <is>
          <t>Вилки планировочные, для защиты подхода. Точные ставки дадут факт BI Green и нулевой спринт (сентябрь–октябрь 2026); полная Excel-модель с помесячной сезонностью собирается на них в ноябре 2026. Источники подхода: docs/research/park-pilot-concept.md.</t>
        </is>
      </c>
    </row>
    <row r="20"/>
  </sheetData>
  <mergeCells count="4">
    <mergeCell ref="A1:D1"/>
    <mergeCell ref="A19:D20"/>
    <mergeCell ref="A4:D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15" customWidth="1" min="3" max="3"/>
    <col width="15" customWidth="1" min="4" max="4"/>
  </cols>
  <sheetData>
    <row r="1">
      <c r="A1" s="13" t="inlineStr">
        <is>
          <t>Финмодель Т1 · Транзитная аллея</t>
        </is>
      </c>
    </row>
    <row r="2">
      <c r="A2" s="2" t="inlineStr">
        <is>
          <t>Аура Аллея, 800 м² · пилотный объект группы A</t>
        </is>
      </c>
    </row>
    <row r="4">
      <c r="A4" s="4" t="inlineStr">
        <is>
          <t>Статья</t>
        </is>
      </c>
      <c r="B4" s="4" t="inlineStr">
        <is>
          <t>Как считаем</t>
        </is>
      </c>
      <c r="C4" s="5" t="inlineStr">
        <is>
          <t>Мин, млн тг/год</t>
        </is>
      </c>
      <c r="D4" s="5" t="inlineStr">
        <is>
          <t>Макс, млн тг/год</t>
        </is>
      </c>
    </row>
    <row r="5">
      <c r="A5" s="14" t="inlineStr">
        <is>
          <t>ДОХОДЫ</t>
        </is>
      </c>
      <c r="B5" s="15" t="n"/>
      <c r="C5" s="15" t="n"/>
      <c r="D5" s="15" t="n"/>
    </row>
    <row r="6">
      <c r="A6" s="6" t="inlineStr">
        <is>
          <t>Вендинг, 1 автомат</t>
        </is>
      </c>
      <c r="B6" s="16" t="inlineStr">
        <is>
          <t>аренда точки 25–45 тыс тг/мес</t>
        </is>
      </c>
      <c r="C6" s="17" t="n">
        <v>0.3</v>
      </c>
      <c r="D6" s="17" t="n">
        <v>0.5</v>
      </c>
    </row>
    <row r="7">
      <c r="A7" s="6" t="inlineStr">
        <is>
          <t>Спонсорство «Усынови клумбу»</t>
        </is>
      </c>
      <c r="B7" s="16" t="inlineStr">
        <is>
          <t>3–5 спонсоров по 80–150 тыс тг/год</t>
        </is>
      </c>
      <c r="C7" s="17" t="n">
        <v>0.2</v>
      </c>
      <c r="D7" s="17" t="n">
        <v>0.6</v>
      </c>
    </row>
    <row r="8">
      <c r="A8" s="6" t="inlineStr">
        <is>
          <t>Реклама на навигации</t>
        </is>
      </c>
      <c r="B8" s="16" t="inlineStr">
        <is>
          <t>при подходящем юрстатусе земли</t>
        </is>
      </c>
      <c r="C8" s="17" t="n">
        <v>0</v>
      </c>
      <c r="D8" s="17" t="n">
        <v>0.4</v>
      </c>
    </row>
    <row r="9">
      <c r="A9" s="18" t="inlineStr">
        <is>
          <t>Доходы, итого</t>
        </is>
      </c>
      <c r="B9" s="19" t="n"/>
      <c r="C9" s="20">
        <f>SUM(C6:C8)</f>
        <v/>
      </c>
      <c r="D9" s="20">
        <f>SUM(D6:D8)</f>
        <v/>
      </c>
    </row>
    <row r="10">
      <c r="A10" s="14" t="inlineStr">
        <is>
          <t>РАСХОДЫ (OPEX)</t>
        </is>
      </c>
      <c r="B10" s="15" t="n"/>
      <c r="C10" s="15" t="n"/>
      <c r="D10" s="15" t="n"/>
    </row>
    <row r="11">
      <c r="A11" s="6" t="inlineStr">
        <is>
          <t>Уборка и снегоуборка</t>
        </is>
      </c>
      <c r="B11" s="16" t="inlineStr">
        <is>
          <t>800 м² по 120–175 тг/м² в месяц</t>
        </is>
      </c>
      <c r="C11" s="17" t="n">
        <v>1.15</v>
      </c>
      <c r="D11" s="17" t="n">
        <v>1.7</v>
      </c>
    </row>
    <row r="12">
      <c r="A12" s="6" t="inlineStr">
        <is>
          <t>Озеленение и полив</t>
        </is>
      </c>
      <c r="B12" s="16" t="inlineStr">
        <is>
          <t>апрель–октябрь</t>
        </is>
      </c>
      <c r="C12" s="17" t="n">
        <v>0.5</v>
      </c>
      <c r="D12" s="17" t="n">
        <v>0.9</v>
      </c>
    </row>
    <row r="13">
      <c r="A13" s="6" t="inlineStr">
        <is>
          <t>Освещение</t>
        </is>
      </c>
      <c r="B13" s="16" t="inlineStr">
        <is>
          <t>тариф и длинная зимняя ночь</t>
        </is>
      </c>
      <c r="C13" s="17" t="n">
        <v>0.25</v>
      </c>
      <c r="D13" s="17" t="n">
        <v>0.4</v>
      </c>
    </row>
    <row r="14">
      <c r="A14" s="6" t="inlineStr">
        <is>
          <t>Координатор кластера</t>
        </is>
      </c>
      <c r="B14" s="16" t="inlineStr">
        <is>
          <t>1/5 ставки на объект</t>
        </is>
      </c>
      <c r="C14" s="17" t="n">
        <v>0.75</v>
      </c>
      <c r="D14" s="17" t="n">
        <v>1</v>
      </c>
    </row>
    <row r="15">
      <c r="A15" s="6" t="inlineStr">
        <is>
          <t>Ремфонд и мелкий ремонт</t>
        </is>
      </c>
      <c r="B15" s="16" t="inlineStr">
        <is>
          <t>5–7% от OPEX</t>
        </is>
      </c>
      <c r="C15" s="17" t="n">
        <v>0.35</v>
      </c>
      <c r="D15" s="17" t="n">
        <v>0.5</v>
      </c>
    </row>
    <row r="16">
      <c r="A16" s="21" t="inlineStr">
        <is>
          <t>OPEX, итого</t>
        </is>
      </c>
      <c r="B16" s="19" t="n"/>
      <c r="C16" s="22">
        <f>SUM(C11:C15)</f>
        <v/>
      </c>
      <c r="D16" s="22">
        <f>SUM(D11:D15)</f>
        <v/>
      </c>
    </row>
    <row r="18">
      <c r="A18" s="14" t="inlineStr">
        <is>
          <t>ПОКРЫТИЕ OPEX ДОХОДАМИ</t>
        </is>
      </c>
      <c r="B18" s="15" t="n"/>
      <c r="C18" s="15" t="n"/>
      <c r="D18" s="15" t="n"/>
    </row>
    <row r="19">
      <c r="A19" s="6" t="inlineStr">
        <is>
          <t>Консервативный сценарий</t>
        </is>
      </c>
      <c r="B19" s="16" t="inlineStr">
        <is>
          <t>низ доходов / верх расходов</t>
        </is>
      </c>
      <c r="C19" s="23">
        <f>IFERROR(C9/D16,0)</f>
        <v/>
      </c>
      <c r="D19" s="15" t="n"/>
    </row>
    <row r="20">
      <c r="A20" s="6" t="inlineStr">
        <is>
          <t>По середине вилок</t>
        </is>
      </c>
      <c r="B20" s="16" t="inlineStr">
        <is>
          <t>средние значения обеих вилок</t>
        </is>
      </c>
      <c r="C20" s="23">
        <f>IFERROR(AVERAGE(C9:D9)/AVERAGE(C16:D16),0)</f>
        <v/>
      </c>
      <c r="D20" s="15" t="n"/>
    </row>
    <row r="21">
      <c r="A21" s="6" t="inlineStr">
        <is>
          <t>Оптимистичный сценарий</t>
        </is>
      </c>
      <c r="B21" s="16" t="inlineStr">
        <is>
          <t>верх доходов / низ расходов</t>
        </is>
      </c>
      <c r="C21" s="23">
        <f>IFERROR(D9/C16,0)</f>
        <v/>
      </c>
      <c r="D21" s="15" t="n"/>
    </row>
    <row r="22">
      <c r="A22" s="24" t="inlineStr">
        <is>
          <t>Целевой коридор пилота</t>
        </is>
      </c>
      <c r="B22" s="15" t="n"/>
      <c r="C22" s="25" t="inlineStr">
        <is>
          <t>10–30%</t>
        </is>
      </c>
      <c r="D22" s="15" t="n"/>
    </row>
    <row r="24">
      <c r="A24" s="14" t="inlineStr">
        <is>
          <t>ЧТО ДОЛЖНО СОЙТИСЬ</t>
        </is>
      </c>
      <c r="B24" s="15" t="n"/>
      <c r="C24" s="15" t="n"/>
      <c r="D24" s="15" t="n"/>
    </row>
    <row r="25">
      <c r="A25" s="26" t="inlineStr">
        <is>
          <t>• Кластер: общий координатор и бригада, не своя</t>
        </is>
      </c>
    </row>
    <row r="26">
      <c r="A26" s="26" t="inlineStr">
        <is>
          <t>• Спонсоры продлеваются на второй год</t>
        </is>
      </c>
    </row>
    <row r="27">
      <c r="A27" s="26" t="inlineStr">
        <is>
          <t>• Юрстатус пропускает рекламу на стелах</t>
        </is>
      </c>
    </row>
    <row r="29">
      <c r="A29" s="12" t="inlineStr">
        <is>
          <t>Вилки планировочные, для защиты подхода. Точные ставки дадут факт BI Green и нулевой спринт (сентябрь–октябрь 2026); полная Excel-модель с помесячной сезонностью собирается на них в ноябре 2026.</t>
        </is>
      </c>
    </row>
    <row r="30"/>
  </sheetData>
  <mergeCells count="10">
    <mergeCell ref="A1:D1"/>
    <mergeCell ref="A5:D5"/>
    <mergeCell ref="A18:D18"/>
    <mergeCell ref="A27:D27"/>
    <mergeCell ref="A26:D26"/>
    <mergeCell ref="A25:D25"/>
    <mergeCell ref="A29:D30"/>
    <mergeCell ref="A24:D24"/>
    <mergeCell ref="A2:D2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15" customWidth="1" min="3" max="3"/>
    <col width="15" customWidth="1" min="4" max="4"/>
  </cols>
  <sheetData>
    <row r="1">
      <c r="A1" s="13" t="inlineStr">
        <is>
          <t>Финмодель Т2 · Активная аллея</t>
        </is>
      </c>
    </row>
    <row r="2">
      <c r="A2" s="2" t="inlineStr">
        <is>
          <t>Аллея Nexpo Классик, 6 200 м² · пилотный объект группы A</t>
        </is>
      </c>
    </row>
    <row r="4">
      <c r="A4" s="4" t="inlineStr">
        <is>
          <t>Статья</t>
        </is>
      </c>
      <c r="B4" s="4" t="inlineStr">
        <is>
          <t>Как считаем</t>
        </is>
      </c>
      <c r="C4" s="5" t="inlineStr">
        <is>
          <t>Мин, млн тг/год</t>
        </is>
      </c>
      <c r="D4" s="5" t="inlineStr">
        <is>
          <t>Макс, млн тг/год</t>
        </is>
      </c>
    </row>
    <row r="5">
      <c r="A5" s="14" t="inlineStr">
        <is>
          <t>ДОХОДЫ</t>
        </is>
      </c>
      <c r="B5" s="15" t="n"/>
      <c r="C5" s="15" t="n"/>
      <c r="D5" s="15" t="n"/>
    </row>
    <row r="6">
      <c r="A6" s="6" t="inlineStr">
        <is>
          <t>НТО-якорь: кофе-павильон</t>
        </is>
      </c>
      <c r="B6" s="16" t="inlineStr">
        <is>
          <t>аренда 120–250 тыс тг/мес + 2–5% оборота</t>
        </is>
      </c>
      <c r="C6" s="17" t="n">
        <v>1.8</v>
      </c>
      <c r="D6" s="17" t="n">
        <v>3.6</v>
      </c>
    </row>
    <row r="7">
      <c r="A7" s="6" t="inlineStr">
        <is>
          <t>Ярмарка выходного дня</t>
        </is>
      </c>
      <c r="B7" s="16" t="inlineStr">
        <is>
          <t>12–16 ярмарок, 15–25 мест по 3–5 тыс тг</t>
        </is>
      </c>
      <c r="C7" s="17" t="n">
        <v>0.7</v>
      </c>
      <c r="D7" s="17" t="n">
        <v>1.8</v>
      </c>
    </row>
    <row r="8">
      <c r="A8" s="6" t="inlineStr">
        <is>
          <t>Секции и кикшеринг</t>
        </is>
      </c>
      <c r="B8" s="16" t="inlineStr">
        <is>
          <t>слоты тренерам + rev-share операторов</t>
        </is>
      </c>
      <c r="C8" s="17" t="n">
        <v>0.6</v>
      </c>
      <c r="D8" s="17" t="n">
        <v>1.6</v>
      </c>
    </row>
    <row r="9">
      <c r="A9" s="6" t="inlineStr">
        <is>
          <t>Digital-экран и реклама</t>
        </is>
      </c>
      <c r="B9" s="16" t="inlineStr">
        <is>
          <t>при подходящем юрстатусе земли</t>
        </is>
      </c>
      <c r="C9" s="17" t="n">
        <v>0.8</v>
      </c>
      <c r="D9" s="17" t="n">
        <v>2</v>
      </c>
    </row>
    <row r="10">
      <c r="A10" s="6" t="inlineStr">
        <is>
          <t>Спонсорство объектов</t>
        </is>
      </c>
      <c r="B10" s="16" t="inlineStr">
        <is>
          <t>воркаут, клумбы, скамейки</t>
        </is>
      </c>
      <c r="C10" s="17" t="n">
        <v>0.5</v>
      </c>
      <c r="D10" s="17" t="n">
        <v>1.2</v>
      </c>
    </row>
    <row r="11">
      <c r="A11" s="18" t="inlineStr">
        <is>
          <t>Доходы, итого</t>
        </is>
      </c>
      <c r="B11" s="19" t="n"/>
      <c r="C11" s="20">
        <f>SUM(C6:C10)</f>
        <v/>
      </c>
      <c r="D11" s="20">
        <f>SUM(D6:D10)</f>
        <v/>
      </c>
    </row>
    <row r="12">
      <c r="A12" s="14" t="inlineStr">
        <is>
          <t>РАСХОДЫ (OPEX)</t>
        </is>
      </c>
      <c r="B12" s="15" t="n"/>
      <c r="C12" s="15" t="n"/>
      <c r="D12" s="15" t="n"/>
    </row>
    <row r="13">
      <c r="A13" s="6" t="inlineStr">
        <is>
          <t>Уборка и снегоуборка</t>
        </is>
      </c>
      <c r="B13" s="16" t="inlineStr">
        <is>
          <t>6 200 м² по 60–110 тг/м² в месяц</t>
        </is>
      </c>
      <c r="C13" s="17" t="n">
        <v>4.5</v>
      </c>
      <c r="D13" s="17" t="n">
        <v>8.199999999999999</v>
      </c>
    </row>
    <row r="14">
      <c r="A14" s="6" t="inlineStr">
        <is>
          <t>Озеленение и полив</t>
        </is>
      </c>
      <c r="B14" s="16" t="inlineStr">
        <is>
          <t>апрель–октябрь</t>
        </is>
      </c>
      <c r="C14" s="17" t="n">
        <v>1.8</v>
      </c>
      <c r="D14" s="17" t="n">
        <v>3</v>
      </c>
    </row>
    <row r="15">
      <c r="A15" s="6" t="inlineStr">
        <is>
          <t>Свет и электро для НТО</t>
        </is>
      </c>
      <c r="B15" s="16" t="inlineStr">
        <is>
          <t>включая событийные подключения</t>
        </is>
      </c>
      <c r="C15" s="17" t="n">
        <v>0.8</v>
      </c>
      <c r="D15" s="17" t="n">
        <v>1.4</v>
      </c>
    </row>
    <row r="16">
      <c r="A16" s="6" t="inlineStr">
        <is>
          <t>Программа и маркетинг</t>
        </is>
      </c>
      <c r="B16" s="16" t="inlineStr">
        <is>
          <t>20–30 событий по 60–120 тыс тг</t>
        </is>
      </c>
      <c r="C16" s="17" t="n">
        <v>1.9</v>
      </c>
      <c r="D16" s="17" t="n">
        <v>3.9</v>
      </c>
    </row>
    <row r="17">
      <c r="A17" s="6" t="inlineStr">
        <is>
          <t>Координатор кластера</t>
        </is>
      </c>
      <c r="B17" s="16" t="inlineStr">
        <is>
          <t>1/3 ставки на объект</t>
        </is>
      </c>
      <c r="C17" s="17" t="n">
        <v>1.2</v>
      </c>
      <c r="D17" s="17" t="n">
        <v>1.6</v>
      </c>
    </row>
    <row r="18">
      <c r="A18" s="6" t="inlineStr">
        <is>
          <t>Ремфонд</t>
        </is>
      </c>
      <c r="B18" s="16" t="inlineStr">
        <is>
          <t>5–7% от OPEX</t>
        </is>
      </c>
      <c r="C18" s="17" t="n">
        <v>0.7</v>
      </c>
      <c r="D18" s="17" t="n">
        <v>1.2</v>
      </c>
    </row>
    <row r="19">
      <c r="A19" s="21" t="inlineStr">
        <is>
          <t>OPEX, итого</t>
        </is>
      </c>
      <c r="B19" s="19" t="n"/>
      <c r="C19" s="22">
        <f>SUM(C13:C18)</f>
        <v/>
      </c>
      <c r="D19" s="22">
        <f>SUM(D13:D18)</f>
        <v/>
      </c>
    </row>
    <row r="21">
      <c r="A21" s="14" t="inlineStr">
        <is>
          <t>ПОКРЫТИЕ OPEX ДОХОДАМИ</t>
        </is>
      </c>
      <c r="B21" s="15" t="n"/>
      <c r="C21" s="15" t="n"/>
      <c r="D21" s="15" t="n"/>
    </row>
    <row r="22">
      <c r="A22" s="6" t="inlineStr">
        <is>
          <t>Консервативный сценарий</t>
        </is>
      </c>
      <c r="B22" s="16" t="inlineStr">
        <is>
          <t>низ доходов / верх расходов</t>
        </is>
      </c>
      <c r="C22" s="23">
        <f>IFERROR(C11/D19,0)</f>
        <v/>
      </c>
      <c r="D22" s="15" t="n"/>
    </row>
    <row r="23">
      <c r="A23" s="6" t="inlineStr">
        <is>
          <t>По середине вилок</t>
        </is>
      </c>
      <c r="B23" s="16" t="inlineStr">
        <is>
          <t>средние значения обеих вилок</t>
        </is>
      </c>
      <c r="C23" s="23">
        <f>IFERROR(AVERAGE(C11:D11)/AVERAGE(C19:D19),0)</f>
        <v/>
      </c>
      <c r="D23" s="15" t="n"/>
    </row>
    <row r="24">
      <c r="A24" s="6" t="inlineStr">
        <is>
          <t>Оптимистичный сценарий</t>
        </is>
      </c>
      <c r="B24" s="16" t="inlineStr">
        <is>
          <t>верх доходов / низ расходов</t>
        </is>
      </c>
      <c r="C24" s="23">
        <f>IFERROR(D11/C19,0)</f>
        <v/>
      </c>
      <c r="D24" s="15" t="n"/>
    </row>
    <row r="25">
      <c r="A25" s="24" t="inlineStr">
        <is>
          <t>Целевой коридор пилота</t>
        </is>
      </c>
      <c r="B25" s="15" t="n"/>
      <c r="C25" s="25" t="inlineStr">
        <is>
          <t>40–70%</t>
        </is>
      </c>
      <c r="D25" s="15" t="n"/>
    </row>
    <row r="27">
      <c r="A27" s="14" t="inlineStr">
        <is>
          <t>ЧТО ДОЛЖНО СОЙТИСЬ</t>
        </is>
      </c>
      <c r="B27" s="15" t="n"/>
      <c r="C27" s="15" t="n"/>
      <c r="D27" s="15" t="n"/>
    </row>
    <row r="28">
      <c r="A28" s="26" t="inlineStr">
        <is>
          <t>• Якорь-павильон заполнен с мая по сентябрь</t>
        </is>
      </c>
    </row>
    <row r="29">
      <c r="A29" s="26" t="inlineStr">
        <is>
          <t>• Ярмарка стала привычкой района: 12+ за сезон</t>
        </is>
      </c>
    </row>
    <row r="30">
      <c r="A30" s="26" t="inlineStr">
        <is>
          <t>• Вечерние слоты секций выкуплены</t>
        </is>
      </c>
    </row>
    <row r="32">
      <c r="A32" s="12" t="inlineStr">
        <is>
          <t>Вилки планировочные, для защиты подхода. Точные ставки дадут факт BI Green и нулевой спринт (сентябрь–октябрь 2026); полная Excel-модель с помесячной сезонностью собирается на них в ноябре 2026.</t>
        </is>
      </c>
    </row>
    <row r="33"/>
  </sheetData>
  <mergeCells count="10">
    <mergeCell ref="A1:D1"/>
    <mergeCell ref="A5:D5"/>
    <mergeCell ref="A27:D27"/>
    <mergeCell ref="A12:D12"/>
    <mergeCell ref="A21:D21"/>
    <mergeCell ref="A30:D30"/>
    <mergeCell ref="A29:D29"/>
    <mergeCell ref="A2:D2"/>
    <mergeCell ref="A28:D28"/>
    <mergeCell ref="A32:D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15" customWidth="1" min="3" max="3"/>
    <col width="15" customWidth="1" min="4" max="4"/>
  </cols>
  <sheetData>
    <row r="1">
      <c r="A1" s="13" t="inlineStr">
        <is>
          <t>Финмодель Т3 · Плейхаб</t>
        </is>
      </c>
    </row>
    <row r="2">
      <c r="A2" s="2" t="inlineStr">
        <is>
          <t>Плейхаб Аква 1, 2 385 м² · пилотный объект группы A, флагман</t>
        </is>
      </c>
    </row>
    <row r="4">
      <c r="A4" s="4" t="inlineStr">
        <is>
          <t>Статья</t>
        </is>
      </c>
      <c r="B4" s="4" t="inlineStr">
        <is>
          <t>Как считаем</t>
        </is>
      </c>
      <c r="C4" s="5" t="inlineStr">
        <is>
          <t>Мин, млн тг/год</t>
        </is>
      </c>
      <c r="D4" s="5" t="inlineStr">
        <is>
          <t>Макс, млн тг/год</t>
        </is>
      </c>
    </row>
    <row r="5">
      <c r="A5" s="14" t="inlineStr">
        <is>
          <t>ДОХОДЫ</t>
        </is>
      </c>
      <c r="B5" s="15" t="n"/>
      <c r="C5" s="15" t="n"/>
      <c r="D5" s="15" t="n"/>
    </row>
    <row r="6">
      <c r="A6" s="6" t="inlineStr">
        <is>
          <t>Две НТО-точки</t>
        </is>
      </c>
      <c r="B6" s="16" t="inlineStr">
        <is>
          <t>кофе и выпечка: аренда + % оборота</t>
        </is>
      </c>
      <c r="C6" s="17" t="n">
        <v>2.4</v>
      </c>
      <c r="D6" s="17" t="n">
        <v>4.8</v>
      </c>
    </row>
    <row r="7">
      <c r="A7" s="6" t="inlineStr">
        <is>
          <t>Каток: прокат и билеты</t>
        </is>
      </c>
      <c r="B7" s="16" t="inlineStr">
        <is>
          <t>120–160 дней зимнего сезона</t>
        </is>
      </c>
      <c r="C7" s="17" t="n">
        <v>2.5</v>
      </c>
      <c r="D7" s="17" t="n">
        <v>5.5</v>
      </c>
    </row>
    <row r="8">
      <c r="A8" s="6" t="inlineStr">
        <is>
          <t>Событийная аренда</t>
        </is>
      </c>
      <c r="B8" s="16" t="inlineStr">
        <is>
          <t>10–18 частных и корпоративных событий</t>
        </is>
      </c>
      <c r="C8" s="17" t="n">
        <v>1</v>
      </c>
      <c r="D8" s="17" t="n">
        <v>2.8</v>
      </c>
    </row>
    <row r="9">
      <c r="A9" s="6" t="inlineStr">
        <is>
          <t>Ярмарки, маркеты, секции</t>
        </is>
      </c>
      <c r="B9" s="16" t="inlineStr">
        <is>
          <t>круглогодичный календарь</t>
        </is>
      </c>
      <c r="C9" s="17" t="n">
        <v>1.3</v>
      </c>
      <c r="D9" s="17" t="n">
        <v>2.6</v>
      </c>
    </row>
    <row r="10">
      <c r="A10" s="6" t="inlineStr">
        <is>
          <t>Спонсор года и реклама</t>
        </is>
      </c>
      <c r="B10" s="16" t="inlineStr">
        <is>
          <t>один якорный партнёр + экран</t>
        </is>
      </c>
      <c r="C10" s="17" t="n">
        <v>1.5</v>
      </c>
      <c r="D10" s="17" t="n">
        <v>3.7</v>
      </c>
    </row>
    <row r="11">
      <c r="A11" s="18" t="inlineStr">
        <is>
          <t>Доходы, итого</t>
        </is>
      </c>
      <c r="B11" s="19" t="n"/>
      <c r="C11" s="20">
        <f>SUM(C6:C10)</f>
        <v/>
      </c>
      <c r="D11" s="20">
        <f>SUM(D6:D10)</f>
        <v/>
      </c>
    </row>
    <row r="12">
      <c r="A12" s="14" t="inlineStr">
        <is>
          <t>РАСХОДЫ (OPEX)</t>
        </is>
      </c>
      <c r="B12" s="15" t="n"/>
      <c r="C12" s="15" t="n"/>
      <c r="D12" s="15" t="n"/>
    </row>
    <row r="13">
      <c r="A13" s="6" t="inlineStr">
        <is>
          <t>Уборка и снегоуборка</t>
        </is>
      </c>
      <c r="B13" s="16" t="inlineStr">
        <is>
          <t>2 385 м² по 120–200 тг/м² в месяц, интенсив</t>
        </is>
      </c>
      <c r="C13" s="17" t="n">
        <v>3.4</v>
      </c>
      <c r="D13" s="17" t="n">
        <v>5.7</v>
      </c>
    </row>
    <row r="14">
      <c r="A14" s="6" t="inlineStr">
        <is>
          <t>Озеленение и полив</t>
        </is>
      </c>
      <c r="B14" s="16" t="inlineStr">
        <is>
          <t>апрель–октябрь</t>
        </is>
      </c>
      <c r="C14" s="17" t="n">
        <v>0.9</v>
      </c>
      <c r="D14" s="17" t="n">
        <v>1.5</v>
      </c>
    </row>
    <row r="15">
      <c r="A15" s="6" t="inlineStr">
        <is>
          <t>Свет, электро, Wi-Fi</t>
        </is>
      </c>
      <c r="B15" s="16" t="inlineStr">
        <is>
          <t>включая архитектурную подсветку</t>
        </is>
      </c>
      <c r="C15" s="17" t="n">
        <v>0.9</v>
      </c>
      <c r="D15" s="17" t="n">
        <v>1.5</v>
      </c>
    </row>
    <row r="16">
      <c r="A16" s="6" t="inlineStr">
        <is>
          <t>Зимний пакет</t>
        </is>
      </c>
      <c r="B16" s="16" t="inlineStr">
        <is>
          <t>заливка, уход за льдом, персонал проката</t>
        </is>
      </c>
      <c r="C16" s="17" t="n">
        <v>2.5</v>
      </c>
      <c r="D16" s="17" t="n">
        <v>4.5</v>
      </c>
    </row>
    <row r="17">
      <c r="A17" s="6" t="inlineStr">
        <is>
          <t>Программа и маркетинг</t>
        </is>
      </c>
      <c r="B17" s="16" t="inlineStr">
        <is>
          <t>30–45 событий в год</t>
        </is>
      </c>
      <c r="C17" s="17" t="n">
        <v>3.1</v>
      </c>
      <c r="D17" s="17" t="n">
        <v>5.5</v>
      </c>
    </row>
    <row r="18">
      <c r="A18" s="6" t="inlineStr">
        <is>
          <t>Координатор и событийный менеджер</t>
        </is>
      </c>
      <c r="B18" s="16" t="inlineStr">
        <is>
          <t>доли двух ставок</t>
        </is>
      </c>
      <c r="C18" s="17" t="n">
        <v>2</v>
      </c>
      <c r="D18" s="17" t="n">
        <v>3</v>
      </c>
    </row>
    <row r="19">
      <c r="A19" s="6" t="inlineStr">
        <is>
          <t>Ремфонд</t>
        </is>
      </c>
      <c r="B19" s="16" t="inlineStr">
        <is>
          <t>5–7% от OPEX</t>
        </is>
      </c>
      <c r="C19" s="17" t="n">
        <v>0.8</v>
      </c>
      <c r="D19" s="17" t="n">
        <v>1.4</v>
      </c>
    </row>
    <row r="20">
      <c r="A20" s="21" t="inlineStr">
        <is>
          <t>OPEX, итого</t>
        </is>
      </c>
      <c r="B20" s="19" t="n"/>
      <c r="C20" s="22">
        <f>SUM(C13:C19)</f>
        <v/>
      </c>
      <c r="D20" s="22">
        <f>SUM(D13:D19)</f>
        <v/>
      </c>
    </row>
    <row r="22">
      <c r="A22" s="14" t="inlineStr">
        <is>
          <t>ПОКРЫТИЕ OPEX ДОХОДАМИ</t>
        </is>
      </c>
      <c r="B22" s="15" t="n"/>
      <c r="C22" s="15" t="n"/>
      <c r="D22" s="15" t="n"/>
    </row>
    <row r="23">
      <c r="A23" s="6" t="inlineStr">
        <is>
          <t>Консервативный сценарий</t>
        </is>
      </c>
      <c r="B23" s="16" t="inlineStr">
        <is>
          <t>низ доходов / верх расходов</t>
        </is>
      </c>
      <c r="C23" s="23">
        <f>IFERROR(C11/D20,0)</f>
        <v/>
      </c>
      <c r="D23" s="15" t="n"/>
    </row>
    <row r="24">
      <c r="A24" s="6" t="inlineStr">
        <is>
          <t>По середине вилок</t>
        </is>
      </c>
      <c r="B24" s="16" t="inlineStr">
        <is>
          <t>средние значения обеих вилок</t>
        </is>
      </c>
      <c r="C24" s="23">
        <f>IFERROR(AVERAGE(C11:D11)/AVERAGE(C20:D20),0)</f>
        <v/>
      </c>
      <c r="D24" s="15" t="n"/>
    </row>
    <row r="25">
      <c r="A25" s="6" t="inlineStr">
        <is>
          <t>Оптимистичный сценарий</t>
        </is>
      </c>
      <c r="B25" s="16" t="inlineStr">
        <is>
          <t>верх доходов / низ расходов</t>
        </is>
      </c>
      <c r="C25" s="23">
        <f>IFERROR(D11/C20,0)</f>
        <v/>
      </c>
      <c r="D25" s="15" t="n"/>
    </row>
    <row r="26">
      <c r="A26" s="24" t="inlineStr">
        <is>
          <t>Целевой коридор пилота</t>
        </is>
      </c>
      <c r="B26" s="15" t="n"/>
      <c r="C26" s="25" t="inlineStr">
        <is>
          <t>70–100%</t>
        </is>
      </c>
      <c r="D26" s="15" t="n"/>
    </row>
    <row r="28">
      <c r="A28" s="14" t="inlineStr">
        <is>
          <t>ЧТО ДОЛЖНО СОЙТИСЬ</t>
        </is>
      </c>
      <c r="B28" s="15" t="n"/>
      <c r="C28" s="15" t="n"/>
      <c r="D28" s="15" t="n"/>
    </row>
    <row r="29">
      <c r="A29" s="26" t="inlineStr">
        <is>
          <t>• Каток отработал первую зиму без простоев</t>
        </is>
      </c>
    </row>
    <row r="30">
      <c r="A30" s="26" t="inlineStr">
        <is>
          <t>• Заявок на события больше, чем слотов</t>
        </is>
      </c>
    </row>
    <row r="31">
      <c r="A31" s="26" t="inlineStr">
        <is>
          <t>• Спонсор года подписан до старта сезона</t>
        </is>
      </c>
    </row>
    <row r="33">
      <c r="A33" s="12" t="inlineStr">
        <is>
          <t>Вилки планировочные, для защиты подхода. Точные ставки дадут факт BI Green и нулевой спринт (сентябрь–октябрь 2026); полная Excel-модель с помесячной сезонностью собирается на них в ноябре 2026.</t>
        </is>
      </c>
    </row>
    <row r="34"/>
  </sheetData>
  <mergeCells count="10">
    <mergeCell ref="A1:D1"/>
    <mergeCell ref="A5:D5"/>
    <mergeCell ref="A31:D31"/>
    <mergeCell ref="A22:D22"/>
    <mergeCell ref="A12:D12"/>
    <mergeCell ref="A33:D34"/>
    <mergeCell ref="A30:D30"/>
    <mergeCell ref="A29:D29"/>
    <mergeCell ref="A2:D2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2026-08-14T05:38:08Z</dcterms:created>
  <dcterms:modified xmlns:dcterms="http://purl.org/dc/terms/" xmlns:xsi="http://www.w3.org/2001/XMLSchema-instance" xsi:type="dcterms:W3CDTF">2026-08-14T05:38:09Z</dcterms:modified>
</cp:coreProperties>
</file>